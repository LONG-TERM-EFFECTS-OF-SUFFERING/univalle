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elgarcia/Documents/CURSOS/INTRODUCCION A LA GP/2024-1/Clase 7 - Estimacion 2 - Riesgos/"/>
    </mc:Choice>
  </mc:AlternateContent>
  <xr:revisionPtr revIDLastSave="0" documentId="13_ncr:1_{5CDA98E1-136E-B04E-BEB5-4E3FDDA23358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Fortalezas" sheetId="1" r:id="rId1"/>
    <sheet name="Oportunidades" sheetId="4" r:id="rId2"/>
    <sheet name="Debilidades" sheetId="5" r:id="rId3"/>
    <sheet name="Amenazas" sheetId="6" r:id="rId4"/>
    <sheet name="Probabilidad Vs. Impacto" sheetId="3" r:id="rId5"/>
  </sheets>
  <definedNames>
    <definedName name="AmenazasDebilidades">Fortalezas!$V$12:$V$15</definedName>
    <definedName name="OportunidadesFortalezas">Fortalezas!$X$12:$X$15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K6" i="1" s="1"/>
  <c r="L6" i="1" s="1"/>
  <c r="H6" i="4"/>
  <c r="H6" i="6"/>
  <c r="J6" i="6" s="1"/>
  <c r="K6" i="6" s="1"/>
  <c r="H6" i="5"/>
  <c r="D9" i="3"/>
  <c r="H9" i="3"/>
  <c r="G9" i="3"/>
  <c r="F9" i="3"/>
  <c r="E9" i="3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G5" i="3"/>
  <c r="F5" i="3"/>
  <c r="E5" i="3"/>
  <c r="D5" i="3"/>
  <c r="H7" i="6"/>
  <c r="J7" i="6" s="1"/>
  <c r="K7" i="6" s="1"/>
  <c r="H8" i="6"/>
  <c r="J8" i="6" s="1"/>
  <c r="K8" i="6" s="1"/>
  <c r="H9" i="6"/>
  <c r="J9" i="6" s="1"/>
  <c r="K9" i="6" s="1"/>
  <c r="H10" i="6"/>
  <c r="J10" i="6" s="1"/>
  <c r="K10" i="6" s="1"/>
  <c r="H11" i="6"/>
  <c r="J11" i="6" s="1"/>
  <c r="K11" i="6" s="1"/>
  <c r="H12" i="6"/>
  <c r="J12" i="6" s="1"/>
  <c r="K12" i="6" s="1"/>
  <c r="H11" i="5"/>
  <c r="J11" i="5" s="1"/>
  <c r="K11" i="5" s="1"/>
  <c r="H7" i="5"/>
  <c r="J7" i="5" s="1"/>
  <c r="K7" i="5" s="1"/>
  <c r="H8" i="5"/>
  <c r="J8" i="5" s="1"/>
  <c r="K8" i="5" s="1"/>
  <c r="H9" i="5"/>
  <c r="J9" i="5" s="1"/>
  <c r="K9" i="5" s="1"/>
  <c r="H10" i="5"/>
  <c r="J10" i="5" s="1"/>
  <c r="K10" i="5" s="1"/>
  <c r="J6" i="5"/>
  <c r="K6" i="5" s="1"/>
  <c r="H8" i="4"/>
  <c r="J8" i="4" s="1"/>
  <c r="K8" i="4" s="1"/>
  <c r="H7" i="4"/>
  <c r="J7" i="4" s="1"/>
  <c r="K7" i="4" s="1"/>
  <c r="J6" i="4"/>
  <c r="K6" i="4" s="1"/>
  <c r="K7" i="1"/>
  <c r="L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N4" authorId="0" shapeId="0" xr:uid="{00000000-0006-0000-0000-000001000000}">
      <text>
        <r>
          <rPr>
            <sz val="11"/>
            <color rgb="FF000000"/>
            <rFont val="Helvetica"/>
            <family val="2"/>
          </rPr>
          <t>Si el riesgo ocurre.¿Qué efectos adversos al proyecto pueden esperarse?</t>
        </r>
      </text>
    </comment>
    <comment ref="O4" authorId="0" shapeId="0" xr:uid="{00000000-0006-0000-00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R4" authorId="0" shapeId="0" xr:uid="{00000000-0006-0000-0000-000003000000}">
      <text>
        <r>
          <rPr>
            <sz val="11"/>
            <color rgb="FF000000"/>
            <rFont val="Helvetica"/>
            <family val="2"/>
          </rPr>
          <t xml:space="preserve">¿Cómo saber cuando el riesgo se ha materializado?
</t>
        </r>
        <r>
          <rPr>
            <sz val="11"/>
            <color rgb="FF000000"/>
            <rFont val="Helvetica"/>
            <family val="2"/>
          </rPr>
          <t>¿Qué indicaciones se puede buscar?</t>
        </r>
      </text>
    </comment>
    <comment ref="S4" authorId="0" shapeId="0" xr:uid="{00000000-0006-0000-0000-000004000000}">
      <text>
        <r>
          <rPr>
            <sz val="11"/>
            <color rgb="FF000000"/>
            <rFont val="Helvetica"/>
            <family val="2"/>
          </rPr>
          <t>Si el evento ocurre, ¿qué podemos hacer para limitar los efectos dañinos?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M4" authorId="0" shapeId="0" xr:uid="{00000000-0006-0000-0100-000001000000}">
      <text>
        <r>
          <rPr>
            <sz val="11"/>
            <color indexed="81"/>
            <rFont val="Helvetica"/>
            <family val="2"/>
          </rPr>
          <t>Si el riesgo ocurre.¿Qué efectos adversos al proyecto pueden esperarse?</t>
        </r>
      </text>
    </comment>
    <comment ref="N4" authorId="0" shapeId="0" xr:uid="{00000000-0006-0000-01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Q4" authorId="0" shapeId="0" xr:uid="{00000000-0006-0000-0100-000003000000}">
      <text>
        <r>
          <rPr>
            <sz val="11"/>
            <color indexed="81"/>
            <rFont val="Helvetica"/>
            <family val="2"/>
          </rPr>
          <t>¿Cómo saber cuando el riesgo se ha materializado?
¿Qué indicaciones se puede buscar?</t>
        </r>
      </text>
    </comment>
    <comment ref="R4" authorId="0" shapeId="0" xr:uid="{00000000-0006-0000-0100-000004000000}">
      <text>
        <r>
          <rPr>
            <sz val="11"/>
            <color indexed="81"/>
            <rFont val="Helvetica"/>
            <family val="2"/>
          </rPr>
          <t>Si el evento ocurre, ¿qué podemos hacer para limitar los efectos dañinos?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M4" authorId="0" shapeId="0" xr:uid="{00000000-0006-0000-0200-000001000000}">
      <text>
        <r>
          <rPr>
            <sz val="11"/>
            <color indexed="81"/>
            <rFont val="Helvetica"/>
            <family val="2"/>
          </rPr>
          <t>Si el riesgo ocurre.¿Qué efectos adversos al proyecto pueden esperarse?</t>
        </r>
      </text>
    </comment>
    <comment ref="N4" authorId="0" shapeId="0" xr:uid="{00000000-0006-0000-02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Q4" authorId="0" shapeId="0" xr:uid="{00000000-0006-0000-0200-000003000000}">
      <text>
        <r>
          <rPr>
            <sz val="11"/>
            <color rgb="FF000000"/>
            <rFont val="Helvetica"/>
            <family val="2"/>
          </rPr>
          <t xml:space="preserve">¿Cómo saber cuando el riesgo se ha materializado?
</t>
        </r>
        <r>
          <rPr>
            <sz val="11"/>
            <color rgb="FF000000"/>
            <rFont val="Helvetica"/>
            <family val="2"/>
          </rPr>
          <t xml:space="preserve">¿Qué indicaciones se puede buscar?
</t>
        </r>
      </text>
    </comment>
    <comment ref="R4" authorId="0" shapeId="0" xr:uid="{00000000-0006-0000-0200-000004000000}">
      <text>
        <r>
          <rPr>
            <sz val="11"/>
            <color indexed="81"/>
            <rFont val="Helvetica"/>
            <family val="2"/>
          </rPr>
          <t>Si el evento ocurre, ¿qué podemos hacer para limitar los efectos dañinos?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M4" authorId="0" shapeId="0" xr:uid="{00000000-0006-0000-0300-000001000000}">
      <text>
        <r>
          <rPr>
            <sz val="11"/>
            <color rgb="FF000000"/>
            <rFont val="Helvetica"/>
            <family val="2"/>
          </rPr>
          <t>Si el riesgo ocurre.¿Qué efectos adversos al proyecto pueden esperarse?</t>
        </r>
      </text>
    </comment>
    <comment ref="N4" authorId="0" shapeId="0" xr:uid="{00000000-0006-0000-03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Q4" authorId="0" shapeId="0" xr:uid="{00000000-0006-0000-0300-000003000000}">
      <text>
        <r>
          <rPr>
            <sz val="11"/>
            <color indexed="81"/>
            <rFont val="Helvetica"/>
            <family val="2"/>
          </rPr>
          <t>¿Cómo saber cuando el riesgo se ha materializado?
¿Qué indicaciones se puede buscar?</t>
        </r>
      </text>
    </comment>
    <comment ref="R4" authorId="0" shapeId="0" xr:uid="{00000000-0006-0000-0300-000004000000}">
      <text>
        <r>
          <rPr>
            <sz val="11"/>
            <color indexed="81"/>
            <rFont val="Helvetica"/>
            <family val="2"/>
          </rPr>
          <t>Si el evento ocurre, ¿qué podemos hacer para limitar los efectos dañinos?</t>
        </r>
      </text>
    </comment>
  </commentList>
</comments>
</file>

<file path=xl/sharedStrings.xml><?xml version="1.0" encoding="utf-8"?>
<sst xmlns="http://schemas.openxmlformats.org/spreadsheetml/2006/main" count="125" uniqueCount="48">
  <si>
    <t>DESCRIPCIÓN</t>
  </si>
  <si>
    <t>Votación</t>
  </si>
  <si>
    <t>Total</t>
  </si>
  <si>
    <t>1.</t>
  </si>
  <si>
    <t>2.</t>
  </si>
  <si>
    <t>3.</t>
  </si>
  <si>
    <t>Tiempo</t>
  </si>
  <si>
    <t>Costo</t>
  </si>
  <si>
    <t>Alcance</t>
  </si>
  <si>
    <t>Calidad</t>
  </si>
  <si>
    <t>Valoración del parámetro</t>
  </si>
  <si>
    <t>4.</t>
  </si>
  <si>
    <t>5.</t>
  </si>
  <si>
    <t>6.</t>
  </si>
  <si>
    <t>7.</t>
  </si>
  <si>
    <t>Probabilidad de ocurrencia del riesgo</t>
  </si>
  <si>
    <t>Probabilidad vs Impacto</t>
  </si>
  <si>
    <t>Nivel del riesgo</t>
  </si>
  <si>
    <t>MATRIZ DE PROBABILIDAD E IMPACTO</t>
  </si>
  <si>
    <t>PROBABILIDAD</t>
  </si>
  <si>
    <t>Muy Alto</t>
  </si>
  <si>
    <t>Alto</t>
  </si>
  <si>
    <t>Medio</t>
  </si>
  <si>
    <t>Bajo</t>
  </si>
  <si>
    <t>Muy Bajo</t>
  </si>
  <si>
    <t>Muy bajo</t>
  </si>
  <si>
    <t>IMPACTO</t>
  </si>
  <si>
    <t>Calificación riesgos: 1 o menos de 1</t>
  </si>
  <si>
    <t>Moderado</t>
  </si>
  <si>
    <t xml:space="preserve">Mayor que 1 y hasta 2.1     </t>
  </si>
  <si>
    <t xml:space="preserve">Mayor que 2.1                               </t>
  </si>
  <si>
    <t>Estrategias</t>
  </si>
  <si>
    <t>Mitigar</t>
  </si>
  <si>
    <t>Evitar</t>
  </si>
  <si>
    <t>Transferir</t>
  </si>
  <si>
    <t>Aceptar</t>
  </si>
  <si>
    <t>Amenazas y Debilidades</t>
  </si>
  <si>
    <t>Explotar</t>
  </si>
  <si>
    <t>compartir</t>
  </si>
  <si>
    <t>Mejorar</t>
  </si>
  <si>
    <t>Oportunidades y Fortalezas</t>
  </si>
  <si>
    <t>Nivel de Riesgo</t>
  </si>
  <si>
    <t>Efecto</t>
  </si>
  <si>
    <t>Evento Disparador</t>
  </si>
  <si>
    <t>Plan de contingencia</t>
  </si>
  <si>
    <r>
      <t xml:space="preserve">Encargado
</t>
    </r>
    <r>
      <rPr>
        <sz val="8"/>
        <color theme="1"/>
        <rFont val="Verdana"/>
        <family val="2"/>
      </rPr>
      <t>Nombre/Rol</t>
    </r>
  </si>
  <si>
    <r>
      <t xml:space="preserve">Fecha
</t>
    </r>
    <r>
      <rPr>
        <sz val="8"/>
        <color theme="1"/>
        <rFont val="Verdana"/>
        <family val="2"/>
      </rPr>
      <t>Compromiso</t>
    </r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</si>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</sst>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indexed="81"/>
      <name val="Helvetic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7" borderId="9" xfId="0" applyFont="1" applyFill="1" applyBorder="1"/>
    <xf numFmtId="0" fontId="3" fillId="7" borderId="10" xfId="0" applyFont="1" applyFill="1" applyBorder="1"/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wrapText="1"/>
    </xf>
    <xf numFmtId="1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5" borderId="9" xfId="0" applyFill="1" applyBorder="1"/>
    <xf numFmtId="0" fontId="0" fillId="6" borderId="9" xfId="0" applyFill="1" applyBorder="1"/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wrapText="1"/>
    </xf>
    <xf numFmtId="49" fontId="8" fillId="0" borderId="9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5" xfId="0" applyFont="1" applyBorder="1" applyAlignment="1">
      <alignment horizontal="center" vertical="center"/>
    </xf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X16"/>
  <sheetViews>
    <sheetView tabSelected="1" topLeftCell="B1" zoomScale="77" zoomScaleNormal="77" workbookViewId="0">
      <selection activeCell="K32" sqref="K32"/>
    </sheetView>
  </sheetViews>
  <sheetFormatPr baseColWidth="10" defaultRowHeight="15" x14ac:dyDescent="0.2"/>
  <cols>
    <col min="2" max="2" width="5.5" customWidth="1"/>
    <col min="3" max="3" width="6.5" customWidth="1"/>
    <col min="4" max="4" width="40" customWidth="1"/>
    <col min="9" max="9" width="11.5" style="9"/>
    <col min="10" max="10" width="15.6640625" customWidth="1"/>
    <col min="11" max="11" width="15.33203125" customWidth="1"/>
    <col min="13" max="13" width="13.1640625" bestFit="1" customWidth="1"/>
    <col min="14" max="14" width="25.33203125" customWidth="1"/>
    <col min="15" max="15" width="16.83203125" customWidth="1"/>
    <col min="16" max="16" width="11" bestFit="1" customWidth="1"/>
    <col min="17" max="17" width="19.5" bestFit="1" customWidth="1"/>
    <col min="18" max="18" width="54.5" bestFit="1" customWidth="1"/>
    <col min="19" max="19" width="54.33203125" bestFit="1" customWidth="1"/>
  </cols>
  <sheetData>
    <row r="2" spans="3:24" ht="16" thickBot="1" x14ac:dyDescent="0.25"/>
    <row r="3" spans="3:24" ht="15.75" customHeight="1" thickBot="1" x14ac:dyDescent="0.25">
      <c r="D3" s="16" t="s">
        <v>10</v>
      </c>
      <c r="E3" s="68">
        <v>0.2</v>
      </c>
      <c r="F3" s="68">
        <v>0.3</v>
      </c>
      <c r="G3" s="68">
        <v>0.4</v>
      </c>
      <c r="H3" s="68">
        <v>0.1</v>
      </c>
      <c r="I3" s="8"/>
      <c r="K3" s="17" t="s">
        <v>17</v>
      </c>
    </row>
    <row r="4" spans="3:24" ht="15.75" customHeight="1" thickBot="1" x14ac:dyDescent="0.25">
      <c r="C4" s="42" t="s">
        <v>0</v>
      </c>
      <c r="D4" s="43"/>
      <c r="E4" s="46" t="s">
        <v>1</v>
      </c>
      <c r="F4" s="47"/>
      <c r="G4" s="47"/>
      <c r="H4" s="47"/>
      <c r="I4" s="48" t="s">
        <v>2</v>
      </c>
      <c r="J4" s="48" t="s">
        <v>15</v>
      </c>
      <c r="K4" s="48" t="s">
        <v>16</v>
      </c>
      <c r="L4" s="38" t="s">
        <v>41</v>
      </c>
      <c r="M4" s="38" t="s">
        <v>31</v>
      </c>
      <c r="N4" s="38" t="s">
        <v>42</v>
      </c>
      <c r="O4" s="38" t="s">
        <v>47</v>
      </c>
      <c r="P4" s="40" t="s">
        <v>45</v>
      </c>
      <c r="Q4" s="40" t="s">
        <v>46</v>
      </c>
      <c r="R4" s="38" t="s">
        <v>43</v>
      </c>
      <c r="S4" s="38" t="s">
        <v>44</v>
      </c>
    </row>
    <row r="5" spans="3:24" ht="28.5" customHeight="1" thickBot="1" x14ac:dyDescent="0.25">
      <c r="C5" s="44"/>
      <c r="D5" s="45"/>
      <c r="E5" s="4" t="s">
        <v>6</v>
      </c>
      <c r="F5" s="4" t="s">
        <v>7</v>
      </c>
      <c r="G5" s="4" t="s">
        <v>8</v>
      </c>
      <c r="H5" s="5" t="s">
        <v>9</v>
      </c>
      <c r="I5" s="49"/>
      <c r="J5" s="50"/>
      <c r="K5" s="50"/>
      <c r="L5" s="39"/>
      <c r="M5" s="39"/>
      <c r="N5" s="39"/>
      <c r="O5" s="67"/>
      <c r="P5" s="41"/>
      <c r="Q5" s="41"/>
      <c r="R5" s="39"/>
      <c r="S5" s="39"/>
    </row>
    <row r="6" spans="3:24" ht="16" thickBot="1" x14ac:dyDescent="0.25">
      <c r="C6" s="1" t="s">
        <v>3</v>
      </c>
      <c r="D6" s="27"/>
      <c r="E6" s="3"/>
      <c r="F6" s="3"/>
      <c r="G6" s="3"/>
      <c r="H6" s="3"/>
      <c r="I6" s="12">
        <f>(E6*$E$3)+(F6*$F$3)+(G6*$G$3)+(H6*$H$3)</f>
        <v>0</v>
      </c>
      <c r="J6" s="15"/>
      <c r="K6" s="15">
        <f>+J6*I6</f>
        <v>0</v>
      </c>
      <c r="L6" s="15" t="str">
        <f>IF(K6&lt;=1,"Bajo",IF(AND(K6&gt;1,K6&lt;=2.1),"Moderado","Alto"))</f>
        <v>Bajo</v>
      </c>
      <c r="M6" s="15"/>
      <c r="N6" s="28"/>
      <c r="O6" s="28"/>
      <c r="P6" s="13"/>
      <c r="Q6" s="13"/>
      <c r="R6" s="30"/>
      <c r="S6" s="30"/>
    </row>
    <row r="7" spans="3:24" ht="16" thickBot="1" x14ac:dyDescent="0.25">
      <c r="C7" s="1" t="s">
        <v>4</v>
      </c>
      <c r="D7" s="27"/>
      <c r="E7" s="3"/>
      <c r="F7" s="3"/>
      <c r="G7" s="3"/>
      <c r="H7" s="3"/>
      <c r="I7" s="12">
        <f>(E7*$E$3)+(F7*$F$3)+(G7*$G$3)+(H7*$H$3)</f>
        <v>0</v>
      </c>
      <c r="J7" s="15"/>
      <c r="K7" s="15">
        <f>+J7*I7</f>
        <v>0</v>
      </c>
      <c r="L7" s="15" t="str">
        <f>IF(K7&lt;=1,"Bajo",IF(AND(K7&gt;1,K7&lt;=2.1),"Moderado","Alto"))</f>
        <v>Bajo</v>
      </c>
      <c r="M7" s="15"/>
      <c r="N7" s="28"/>
      <c r="O7" s="28"/>
      <c r="P7" s="28"/>
      <c r="Q7" s="13"/>
      <c r="R7" s="30"/>
      <c r="S7" s="30"/>
    </row>
    <row r="10" spans="3:24" hidden="1" x14ac:dyDescent="0.2">
      <c r="V10" t="s">
        <v>36</v>
      </c>
      <c r="X10" t="s">
        <v>40</v>
      </c>
    </row>
    <row r="11" spans="3:24" hidden="1" x14ac:dyDescent="0.2">
      <c r="V11" t="s">
        <v>31</v>
      </c>
      <c r="X11" t="s">
        <v>31</v>
      </c>
    </row>
    <row r="12" spans="3:24" hidden="1" x14ac:dyDescent="0.2">
      <c r="V12" t="s">
        <v>33</v>
      </c>
      <c r="X12" t="s">
        <v>37</v>
      </c>
    </row>
    <row r="13" spans="3:24" hidden="1" x14ac:dyDescent="0.2">
      <c r="V13" t="s">
        <v>34</v>
      </c>
      <c r="X13" t="s">
        <v>38</v>
      </c>
    </row>
    <row r="14" spans="3:24" hidden="1" x14ac:dyDescent="0.2">
      <c r="V14" t="s">
        <v>32</v>
      </c>
      <c r="X14" t="s">
        <v>39</v>
      </c>
    </row>
    <row r="15" spans="3:24" hidden="1" x14ac:dyDescent="0.2">
      <c r="V15" t="s">
        <v>35</v>
      </c>
      <c r="X15" t="s">
        <v>35</v>
      </c>
    </row>
    <row r="16" spans="3:24" hidden="1" x14ac:dyDescent="0.2"/>
  </sheetData>
  <mergeCells count="13">
    <mergeCell ref="N4:N5"/>
    <mergeCell ref="M4:M5"/>
    <mergeCell ref="L4:L5"/>
    <mergeCell ref="C4:D5"/>
    <mergeCell ref="E4:H4"/>
    <mergeCell ref="I4:I5"/>
    <mergeCell ref="J4:J5"/>
    <mergeCell ref="K4:K5"/>
    <mergeCell ref="O4:O5"/>
    <mergeCell ref="P4:P5"/>
    <mergeCell ref="Q4:Q5"/>
    <mergeCell ref="R4:R5"/>
    <mergeCell ref="S4:S5"/>
  </mergeCells>
  <conditionalFormatting sqref="L6:L7">
    <cfRule type="cellIs" dxfId="11" priority="9" operator="equal">
      <formula>"Bajo"</formula>
    </cfRule>
    <cfRule type="cellIs" dxfId="10" priority="10" operator="equal">
      <formula>"Moderado"</formula>
    </cfRule>
    <cfRule type="cellIs" dxfId="9" priority="11" operator="equal">
      <formula>"alto"</formula>
    </cfRule>
  </conditionalFormatting>
  <dataValidations count="1">
    <dataValidation type="list" allowBlank="1" showInputMessage="1" showErrorMessage="1" sqref="M6:M7" xr:uid="{00000000-0002-0000-0000-000000000000}">
      <formula1>OportunidadesFortalezas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8"/>
  <sheetViews>
    <sheetView topLeftCell="D1" zoomScale="70" zoomScaleNormal="70" workbookViewId="0">
      <selection activeCell="S6" sqref="S6"/>
    </sheetView>
  </sheetViews>
  <sheetFormatPr baseColWidth="10" defaultRowHeight="15" x14ac:dyDescent="0.2"/>
  <cols>
    <col min="1" max="2" width="6.5" customWidth="1"/>
    <col min="3" max="3" width="40" customWidth="1"/>
    <col min="9" max="9" width="15.5" customWidth="1"/>
    <col min="10" max="10" width="17" customWidth="1"/>
    <col min="11" max="11" width="16.83203125" bestFit="1" customWidth="1"/>
    <col min="12" max="12" width="13.1640625" bestFit="1" customWidth="1"/>
    <col min="13" max="13" width="16.83203125" customWidth="1"/>
    <col min="14" max="14" width="15.5" customWidth="1"/>
    <col min="15" max="15" width="21.1640625" bestFit="1" customWidth="1"/>
    <col min="16" max="16" width="20.5" bestFit="1" customWidth="1"/>
    <col min="17" max="17" width="50.6640625" customWidth="1"/>
    <col min="18" max="18" width="41.5" customWidth="1"/>
    <col min="19" max="19" width="22.83203125" customWidth="1"/>
  </cols>
  <sheetData>
    <row r="2" spans="2:19" ht="16" thickBot="1" x14ac:dyDescent="0.25"/>
    <row r="3" spans="2:19" ht="15.75" customHeight="1" thickBot="1" x14ac:dyDescent="0.25">
      <c r="C3" s="16" t="s">
        <v>10</v>
      </c>
      <c r="D3" s="68">
        <v>0.2</v>
      </c>
      <c r="E3" s="68">
        <v>0.3</v>
      </c>
      <c r="F3" s="68">
        <v>0.4</v>
      </c>
      <c r="G3" s="68">
        <v>0.1</v>
      </c>
      <c r="H3" s="8"/>
      <c r="J3" s="17" t="s">
        <v>17</v>
      </c>
    </row>
    <row r="4" spans="2:19" ht="16" thickBot="1" x14ac:dyDescent="0.25">
      <c r="B4" s="42" t="s">
        <v>0</v>
      </c>
      <c r="C4" s="43"/>
      <c r="D4" s="46" t="s">
        <v>1</v>
      </c>
      <c r="E4" s="47"/>
      <c r="F4" s="47"/>
      <c r="G4" s="47"/>
      <c r="H4" s="48" t="s">
        <v>2</v>
      </c>
      <c r="I4" s="48" t="s">
        <v>15</v>
      </c>
      <c r="J4" s="48" t="s">
        <v>16</v>
      </c>
      <c r="K4" s="38" t="s">
        <v>41</v>
      </c>
      <c r="L4" s="38" t="s">
        <v>31</v>
      </c>
      <c r="M4" s="38" t="s">
        <v>42</v>
      </c>
      <c r="N4" s="38" t="s">
        <v>47</v>
      </c>
      <c r="O4" s="40" t="s">
        <v>45</v>
      </c>
      <c r="P4" s="40" t="s">
        <v>46</v>
      </c>
      <c r="Q4" s="38" t="s">
        <v>43</v>
      </c>
      <c r="R4" s="38" t="s">
        <v>44</v>
      </c>
    </row>
    <row r="5" spans="2:19" ht="28.5" customHeight="1" thickBot="1" x14ac:dyDescent="0.25">
      <c r="B5" s="44"/>
      <c r="C5" s="45"/>
      <c r="D5" s="10" t="s">
        <v>6</v>
      </c>
      <c r="E5" s="10" t="s">
        <v>7</v>
      </c>
      <c r="F5" s="10" t="s">
        <v>8</v>
      </c>
      <c r="G5" s="11" t="s">
        <v>9</v>
      </c>
      <c r="H5" s="53"/>
      <c r="I5" s="54"/>
      <c r="J5" s="54"/>
      <c r="K5" s="52"/>
      <c r="L5" s="52"/>
      <c r="M5" s="52"/>
      <c r="N5" s="39"/>
      <c r="O5" s="51"/>
      <c r="P5" s="51"/>
      <c r="Q5" s="52"/>
      <c r="R5" s="52"/>
    </row>
    <row r="6" spans="2:19" ht="16" thickBot="1" x14ac:dyDescent="0.25">
      <c r="B6" s="1" t="s">
        <v>3</v>
      </c>
      <c r="C6" s="6"/>
      <c r="D6" s="12"/>
      <c r="E6" s="12"/>
      <c r="F6" s="12"/>
      <c r="G6" s="12"/>
      <c r="H6" s="12">
        <f>(D6*$D$3)+(E6*$E$3)+(F6*$F$3)+(G6*$G$3)</f>
        <v>0</v>
      </c>
      <c r="I6" s="12"/>
      <c r="J6" s="15">
        <f>+I6*H6</f>
        <v>0</v>
      </c>
      <c r="K6" s="15" t="str">
        <f>IF(J6&lt;=1,"Bajo",IF(AND(J6&gt;1,J6&lt;=2.1),"Moderado","Alto"))</f>
        <v>Bajo</v>
      </c>
      <c r="L6" s="15"/>
      <c r="M6" s="7"/>
      <c r="N6" s="7"/>
      <c r="O6" s="15"/>
      <c r="P6" s="29"/>
      <c r="Q6" s="31"/>
      <c r="R6" s="30"/>
      <c r="S6" s="37"/>
    </row>
    <row r="7" spans="2:19" ht="16" thickBot="1" x14ac:dyDescent="0.25">
      <c r="B7" s="1" t="s">
        <v>4</v>
      </c>
      <c r="C7" s="7"/>
      <c r="D7" s="12"/>
      <c r="E7" s="12"/>
      <c r="F7" s="12"/>
      <c r="G7" s="12"/>
      <c r="H7" s="12">
        <f t="shared" ref="H7" si="0">(D7*$D$3)+(E7*$E$3)+(F7*$F$3)+(G7*$G$3)</f>
        <v>0</v>
      </c>
      <c r="I7" s="15"/>
      <c r="J7" s="15">
        <f>+I7*H7</f>
        <v>0</v>
      </c>
      <c r="K7" s="15" t="str">
        <f t="shared" ref="K7:K8" si="1">IF(J7&lt;=1,"Bajo",IF(AND(J7&gt;1,J7&lt;=2.1),"Moderado","Alto"))</f>
        <v>Bajo</v>
      </c>
      <c r="L7" s="15"/>
      <c r="M7" s="7"/>
      <c r="N7" s="7"/>
      <c r="O7" s="15"/>
      <c r="P7" s="29"/>
      <c r="Q7" s="31"/>
      <c r="R7" s="30"/>
    </row>
    <row r="8" spans="2:19" ht="16" thickBot="1" x14ac:dyDescent="0.25">
      <c r="B8" s="1" t="s">
        <v>5</v>
      </c>
      <c r="C8" s="7"/>
      <c r="D8" s="12"/>
      <c r="E8" s="12"/>
      <c r="F8" s="12"/>
      <c r="G8" s="12"/>
      <c r="H8" s="12">
        <f>(D8*$D$3)+(E8*$E$3)+(F8*$F$3)+(G8*$G$3)</f>
        <v>0</v>
      </c>
      <c r="I8" s="15"/>
      <c r="J8" s="15">
        <f>+I8*H8</f>
        <v>0</v>
      </c>
      <c r="K8" s="15" t="str">
        <f t="shared" si="1"/>
        <v>Bajo</v>
      </c>
      <c r="L8" s="15"/>
      <c r="M8" s="7"/>
      <c r="N8" s="7"/>
      <c r="O8" s="15"/>
      <c r="P8" s="29"/>
      <c r="Q8" s="31"/>
      <c r="R8" s="30"/>
    </row>
  </sheetData>
  <mergeCells count="13">
    <mergeCell ref="B4:C5"/>
    <mergeCell ref="D4:G4"/>
    <mergeCell ref="H4:H5"/>
    <mergeCell ref="I4:I5"/>
    <mergeCell ref="J4:J5"/>
    <mergeCell ref="P4:P5"/>
    <mergeCell ref="Q4:Q5"/>
    <mergeCell ref="R4:R5"/>
    <mergeCell ref="K4:K5"/>
    <mergeCell ref="L4:L5"/>
    <mergeCell ref="M4:M5"/>
    <mergeCell ref="N4:N5"/>
    <mergeCell ref="O4:O5"/>
  </mergeCells>
  <conditionalFormatting sqref="K6:K8">
    <cfRule type="cellIs" dxfId="8" priority="4" operator="equal">
      <formula>"Bajo"</formula>
    </cfRule>
    <cfRule type="cellIs" dxfId="7" priority="5" operator="equal">
      <formula>"Moderado"</formula>
    </cfRule>
    <cfRule type="cellIs" dxfId="6" priority="6" operator="equal">
      <formula>"alto"</formula>
    </cfRule>
  </conditionalFormatting>
  <dataValidations count="1">
    <dataValidation type="list" allowBlank="1" showInputMessage="1" showErrorMessage="1" sqref="L6:L8" xr:uid="{00000000-0002-0000-0100-000000000000}">
      <formula1>OportunidadesFortalezas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2"/>
  <sheetViews>
    <sheetView topLeftCell="A3" zoomScale="70" zoomScaleNormal="70" workbookViewId="0">
      <selection activeCell="S10" sqref="S10"/>
    </sheetView>
  </sheetViews>
  <sheetFormatPr baseColWidth="10" defaultRowHeight="15" x14ac:dyDescent="0.2"/>
  <cols>
    <col min="1" max="1" width="5.6640625" customWidth="1"/>
    <col min="2" max="2" width="6.5" customWidth="1"/>
    <col min="3" max="3" width="40" customWidth="1"/>
    <col min="9" max="9" width="16" customWidth="1"/>
    <col min="10" max="10" width="15.33203125" customWidth="1"/>
    <col min="12" max="12" width="13.1640625" bestFit="1" customWidth="1"/>
    <col min="13" max="13" width="38.6640625" customWidth="1"/>
    <col min="14" max="14" width="37.5" style="33" customWidth="1"/>
    <col min="15" max="15" width="26.33203125" style="33" customWidth="1"/>
    <col min="16" max="16" width="26.5" style="33" customWidth="1"/>
    <col min="17" max="17" width="30.5" style="33" customWidth="1"/>
    <col min="18" max="18" width="28.1640625" style="33" customWidth="1"/>
    <col min="19" max="19" width="22.83203125" customWidth="1"/>
  </cols>
  <sheetData>
    <row r="2" spans="2:19" ht="16" thickBot="1" x14ac:dyDescent="0.25"/>
    <row r="3" spans="2:19" ht="16" thickBot="1" x14ac:dyDescent="0.25">
      <c r="C3" s="17" t="s">
        <v>10</v>
      </c>
      <c r="D3" s="69">
        <v>0.2</v>
      </c>
      <c r="E3" s="69">
        <v>0.3</v>
      </c>
      <c r="F3" s="69">
        <v>0.4</v>
      </c>
      <c r="G3" s="69">
        <v>0.1</v>
      </c>
      <c r="H3" s="8"/>
      <c r="J3" s="17" t="s">
        <v>17</v>
      </c>
    </row>
    <row r="4" spans="2:19" ht="16" thickBot="1" x14ac:dyDescent="0.25">
      <c r="B4" s="60" t="s">
        <v>0</v>
      </c>
      <c r="C4" s="60"/>
      <c r="D4" s="60" t="s">
        <v>1</v>
      </c>
      <c r="E4" s="60"/>
      <c r="F4" s="60"/>
      <c r="G4" s="60"/>
      <c r="H4" s="57" t="s">
        <v>2</v>
      </c>
      <c r="I4" s="57" t="s">
        <v>15</v>
      </c>
      <c r="J4" s="57" t="s">
        <v>16</v>
      </c>
      <c r="K4" s="57" t="s">
        <v>41</v>
      </c>
      <c r="L4" s="57" t="s">
        <v>31</v>
      </c>
      <c r="M4" s="57" t="s">
        <v>42</v>
      </c>
      <c r="N4" s="38" t="s">
        <v>47</v>
      </c>
      <c r="O4" s="55" t="s">
        <v>45</v>
      </c>
      <c r="P4" s="55" t="s">
        <v>46</v>
      </c>
      <c r="Q4" s="57" t="s">
        <v>43</v>
      </c>
      <c r="R4" s="57" t="s">
        <v>44</v>
      </c>
    </row>
    <row r="5" spans="2:19" ht="28.5" customHeight="1" thickBot="1" x14ac:dyDescent="0.25">
      <c r="B5" s="60"/>
      <c r="C5" s="60"/>
      <c r="D5" s="18" t="s">
        <v>6</v>
      </c>
      <c r="E5" s="18" t="s">
        <v>7</v>
      </c>
      <c r="F5" s="18" t="s">
        <v>8</v>
      </c>
      <c r="G5" s="18" t="s">
        <v>9</v>
      </c>
      <c r="H5" s="58"/>
      <c r="I5" s="59"/>
      <c r="J5" s="59"/>
      <c r="K5" s="59"/>
      <c r="L5" s="59"/>
      <c r="M5" s="59"/>
      <c r="N5" s="39"/>
      <c r="O5" s="56"/>
      <c r="P5" s="56"/>
      <c r="Q5" s="58"/>
      <c r="R5" s="58"/>
    </row>
    <row r="6" spans="2:19" ht="204.75" customHeight="1" thickBot="1" x14ac:dyDescent="0.25">
      <c r="B6" s="19" t="s">
        <v>3</v>
      </c>
      <c r="C6" s="6"/>
      <c r="D6" s="12"/>
      <c r="E6" s="12"/>
      <c r="F6" s="12"/>
      <c r="G6" s="12"/>
      <c r="H6" s="12">
        <f>(D6*$D$3)+(E6*$E$3)+(F6*$F$3)+(G6*$G$3)</f>
        <v>0</v>
      </c>
      <c r="I6" s="12"/>
      <c r="J6" s="15">
        <f>+I6*H6</f>
        <v>0</v>
      </c>
      <c r="K6" s="15" t="str">
        <f>IF(J6&lt;=1,"Bajo",IF(AND(J6&gt;1,J6&lt;=2.1),"Moderado","Alto"))</f>
        <v>Bajo</v>
      </c>
      <c r="L6" s="15"/>
      <c r="M6" s="34"/>
      <c r="N6" s="32"/>
      <c r="O6" s="29"/>
      <c r="P6" s="29"/>
      <c r="Q6" s="35"/>
      <c r="R6" s="29"/>
    </row>
    <row r="7" spans="2:19" ht="100.5" customHeight="1" thickBot="1" x14ac:dyDescent="0.25">
      <c r="B7" s="19" t="s">
        <v>4</v>
      </c>
      <c r="C7" s="6"/>
      <c r="D7" s="12"/>
      <c r="E7" s="12"/>
      <c r="F7" s="12"/>
      <c r="G7" s="12"/>
      <c r="H7" s="12">
        <f t="shared" ref="H7:H10" si="0">(D7*$D$3)+(E7*$E$3)+(F7*$F$3)+(G7*$G$3)</f>
        <v>0</v>
      </c>
      <c r="I7" s="12"/>
      <c r="J7" s="15">
        <f>+I7*H7</f>
        <v>0</v>
      </c>
      <c r="K7" s="15" t="str">
        <f t="shared" ref="K7:K11" si="1">IF(J7&lt;=1,"Bajo",IF(AND(J7&gt;1,J7&lt;=2.1),"Moderado","Alto"))</f>
        <v>Bajo</v>
      </c>
      <c r="L7" s="15"/>
      <c r="M7" s="29"/>
      <c r="N7" s="29"/>
      <c r="O7" s="29"/>
      <c r="P7" s="29"/>
      <c r="Q7" s="29"/>
      <c r="R7" s="35"/>
    </row>
    <row r="8" spans="2:19" ht="118.5" customHeight="1" thickBot="1" x14ac:dyDescent="0.25">
      <c r="B8" s="19" t="s">
        <v>5</v>
      </c>
      <c r="C8" s="6"/>
      <c r="D8" s="12"/>
      <c r="E8" s="12"/>
      <c r="F8" s="12"/>
      <c r="G8" s="12"/>
      <c r="H8" s="12">
        <f t="shared" si="0"/>
        <v>0</v>
      </c>
      <c r="I8" s="12"/>
      <c r="J8" s="20">
        <f t="shared" ref="J8:J11" si="2">+I8*H8</f>
        <v>0</v>
      </c>
      <c r="K8" s="15" t="str">
        <f t="shared" si="1"/>
        <v>Bajo</v>
      </c>
      <c r="L8" s="15"/>
      <c r="M8" s="29"/>
      <c r="N8" s="29"/>
      <c r="O8" s="29"/>
      <c r="P8" s="29"/>
      <c r="Q8" s="29"/>
      <c r="R8" s="29"/>
    </row>
    <row r="9" spans="2:19" ht="80.25" customHeight="1" thickBot="1" x14ac:dyDescent="0.25">
      <c r="B9" s="19" t="s">
        <v>11</v>
      </c>
      <c r="C9" s="6"/>
      <c r="D9" s="15"/>
      <c r="E9" s="15"/>
      <c r="F9" s="15"/>
      <c r="G9" s="15"/>
      <c r="H9" s="12">
        <f t="shared" si="0"/>
        <v>0</v>
      </c>
      <c r="I9" s="15"/>
      <c r="J9" s="15">
        <f t="shared" si="2"/>
        <v>0</v>
      </c>
      <c r="K9" s="15" t="str">
        <f t="shared" si="1"/>
        <v>Bajo</v>
      </c>
      <c r="L9" s="15"/>
      <c r="M9" s="29"/>
      <c r="N9" s="29"/>
      <c r="O9" s="29"/>
      <c r="P9" s="29"/>
      <c r="Q9" s="29"/>
      <c r="R9" s="29"/>
    </row>
    <row r="10" spans="2:19" ht="136.5" customHeight="1" thickBot="1" x14ac:dyDescent="0.25">
      <c r="B10" s="19" t="s">
        <v>12</v>
      </c>
      <c r="C10" s="6"/>
      <c r="D10" s="15"/>
      <c r="E10" s="15"/>
      <c r="F10" s="15"/>
      <c r="G10" s="15"/>
      <c r="H10" s="12">
        <f t="shared" si="0"/>
        <v>0</v>
      </c>
      <c r="I10" s="15"/>
      <c r="J10" s="15">
        <f t="shared" si="2"/>
        <v>0</v>
      </c>
      <c r="K10" s="15" t="str">
        <f t="shared" si="1"/>
        <v>Bajo</v>
      </c>
      <c r="L10" s="15"/>
      <c r="M10" s="29"/>
      <c r="N10" s="29"/>
      <c r="O10" s="29"/>
      <c r="P10" s="29"/>
      <c r="Q10" s="29"/>
      <c r="R10" s="29"/>
      <c r="S10" s="37"/>
    </row>
    <row r="11" spans="2:19" ht="71.25" customHeight="1" thickBot="1" x14ac:dyDescent="0.25">
      <c r="B11" s="19" t="s">
        <v>13</v>
      </c>
      <c r="C11" s="6"/>
      <c r="D11" s="15"/>
      <c r="E11" s="15"/>
      <c r="F11" s="15"/>
      <c r="G11" s="15"/>
      <c r="H11" s="12">
        <f>(D11*$D$3)+(E11*$E$3)+(F11*$F$3)+(G11*$G$3)</f>
        <v>0</v>
      </c>
      <c r="I11" s="15"/>
      <c r="J11" s="15">
        <f t="shared" si="2"/>
        <v>0</v>
      </c>
      <c r="K11" s="15" t="str">
        <f t="shared" si="1"/>
        <v>Bajo</v>
      </c>
      <c r="L11" s="15"/>
      <c r="M11" s="29"/>
      <c r="N11" s="29"/>
      <c r="O11" s="29"/>
      <c r="P11" s="29"/>
      <c r="Q11" s="29"/>
      <c r="R11" s="29"/>
    </row>
    <row r="12" spans="2:19" x14ac:dyDescent="0.2">
      <c r="M12" s="33"/>
    </row>
  </sheetData>
  <mergeCells count="13">
    <mergeCell ref="B4:C5"/>
    <mergeCell ref="D4:G4"/>
    <mergeCell ref="H4:H5"/>
    <mergeCell ref="I4:I5"/>
    <mergeCell ref="J4:J5"/>
    <mergeCell ref="P4:P5"/>
    <mergeCell ref="Q4:Q5"/>
    <mergeCell ref="R4:R5"/>
    <mergeCell ref="K4:K5"/>
    <mergeCell ref="L4:L5"/>
    <mergeCell ref="M4:M5"/>
    <mergeCell ref="N4:N5"/>
    <mergeCell ref="O4:O5"/>
  </mergeCells>
  <conditionalFormatting sqref="K6:K11">
    <cfRule type="cellIs" dxfId="5" priority="4" operator="equal">
      <formula>"Bajo"</formula>
    </cfRule>
    <cfRule type="cellIs" dxfId="4" priority="5" operator="equal">
      <formula>"Moderado"</formula>
    </cfRule>
    <cfRule type="cellIs" dxfId="3" priority="6" operator="equal">
      <formula>"alto"</formula>
    </cfRule>
  </conditionalFormatting>
  <dataValidations count="1">
    <dataValidation type="list" allowBlank="1" showInputMessage="1" showErrorMessage="1" sqref="L6:L11" xr:uid="{00000000-0002-0000-0200-000000000000}">
      <formula1>AmenazasDebilidades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7"/>
  <sheetViews>
    <sheetView zoomScale="70" zoomScaleNormal="70" workbookViewId="0">
      <selection activeCell="C6" sqref="C6:C12"/>
    </sheetView>
  </sheetViews>
  <sheetFormatPr baseColWidth="10" defaultRowHeight="15" x14ac:dyDescent="0.2"/>
  <cols>
    <col min="1" max="1" width="7" customWidth="1"/>
    <col min="2" max="2" width="6.5" customWidth="1"/>
    <col min="3" max="3" width="40" customWidth="1"/>
    <col min="9" max="9" width="16.1640625" customWidth="1"/>
    <col min="10" max="10" width="14.5" customWidth="1"/>
    <col min="11" max="11" width="16.83203125" bestFit="1" customWidth="1"/>
    <col min="12" max="12" width="13.1640625" bestFit="1" customWidth="1"/>
    <col min="13" max="13" width="14.6640625" bestFit="1" customWidth="1"/>
    <col min="14" max="14" width="15.5" customWidth="1"/>
    <col min="17" max="17" width="20.5" bestFit="1" customWidth="1"/>
    <col min="18" max="18" width="23" bestFit="1" customWidth="1"/>
  </cols>
  <sheetData>
    <row r="2" spans="2:18" ht="16" thickBot="1" x14ac:dyDescent="0.25"/>
    <row r="3" spans="2:18" ht="16" thickBot="1" x14ac:dyDescent="0.25">
      <c r="C3" s="16" t="s">
        <v>10</v>
      </c>
      <c r="D3" s="68">
        <v>0.2</v>
      </c>
      <c r="E3" s="68">
        <v>0.3</v>
      </c>
      <c r="F3" s="68">
        <v>0.4</v>
      </c>
      <c r="G3" s="68">
        <v>0.1</v>
      </c>
      <c r="H3" s="8"/>
      <c r="J3" s="17" t="s">
        <v>17</v>
      </c>
    </row>
    <row r="4" spans="2:18" ht="24" customHeight="1" thickBot="1" x14ac:dyDescent="0.25">
      <c r="B4" s="42" t="s">
        <v>0</v>
      </c>
      <c r="C4" s="43"/>
      <c r="D4" s="46" t="s">
        <v>1</v>
      </c>
      <c r="E4" s="47"/>
      <c r="F4" s="47"/>
      <c r="G4" s="47"/>
      <c r="H4" s="48" t="s">
        <v>2</v>
      </c>
      <c r="I4" s="48" t="s">
        <v>15</v>
      </c>
      <c r="J4" s="48" t="s">
        <v>16</v>
      </c>
      <c r="K4" s="38" t="s">
        <v>41</v>
      </c>
      <c r="L4" s="38" t="s">
        <v>31</v>
      </c>
      <c r="M4" s="38" t="s">
        <v>42</v>
      </c>
      <c r="N4" s="38" t="s">
        <v>47</v>
      </c>
      <c r="O4" s="40" t="s">
        <v>45</v>
      </c>
      <c r="P4" s="40" t="s">
        <v>46</v>
      </c>
      <c r="Q4" s="38" t="s">
        <v>43</v>
      </c>
      <c r="R4" s="38" t="s">
        <v>44</v>
      </c>
    </row>
    <row r="5" spans="2:18" ht="26.25" customHeight="1" thickBot="1" x14ac:dyDescent="0.25">
      <c r="B5" s="61"/>
      <c r="C5" s="62"/>
      <c r="D5" s="10" t="s">
        <v>6</v>
      </c>
      <c r="E5" s="10" t="s">
        <v>7</v>
      </c>
      <c r="F5" s="10" t="s">
        <v>8</v>
      </c>
      <c r="G5" s="11" t="s">
        <v>9</v>
      </c>
      <c r="H5" s="53"/>
      <c r="I5" s="50"/>
      <c r="J5" s="54"/>
      <c r="K5" s="52"/>
      <c r="L5" s="52"/>
      <c r="M5" s="52"/>
      <c r="N5" s="39"/>
      <c r="O5" s="51"/>
      <c r="P5" s="51"/>
      <c r="Q5" s="52"/>
      <c r="R5" s="52"/>
    </row>
    <row r="6" spans="2:18" ht="108.75" customHeight="1" thickBot="1" x14ac:dyDescent="0.25">
      <c r="B6" s="19" t="s">
        <v>3</v>
      </c>
      <c r="C6" s="26"/>
      <c r="D6" s="12"/>
      <c r="E6" s="12"/>
      <c r="F6" s="12"/>
      <c r="G6" s="12"/>
      <c r="H6" s="12">
        <f>(D6*$D$3)+(E6*$E$3)+(F6*$F$3)+(G6*$G$3)</f>
        <v>0</v>
      </c>
      <c r="I6" s="15"/>
      <c r="J6" s="15">
        <f>I6*H6</f>
        <v>0</v>
      </c>
      <c r="K6" s="15" t="str">
        <f>IF(J6&lt;=1,"Bajo",IF(AND(J6&gt;1,J6&lt;=2.1),"Moderado","Alto"))</f>
        <v>Bajo</v>
      </c>
      <c r="L6" s="15"/>
      <c r="M6" s="35"/>
      <c r="N6" s="15"/>
      <c r="O6" s="15"/>
      <c r="P6" s="15"/>
      <c r="Q6" s="15"/>
      <c r="R6" s="15"/>
    </row>
    <row r="7" spans="2:18" ht="106.5" customHeight="1" thickBot="1" x14ac:dyDescent="0.25">
      <c r="B7" s="19" t="s">
        <v>4</v>
      </c>
      <c r="C7" s="26"/>
      <c r="D7" s="12"/>
      <c r="E7" s="12"/>
      <c r="F7" s="12"/>
      <c r="G7" s="12"/>
      <c r="H7" s="12">
        <f t="shared" ref="H7:H12" si="0">(D7*$D$3)+(E7*$E$3)+(F7*$F$3)+(G7*$G$3)</f>
        <v>0</v>
      </c>
      <c r="I7" s="15"/>
      <c r="J7" s="15">
        <f t="shared" ref="J7:J12" si="1">I7*H7</f>
        <v>0</v>
      </c>
      <c r="K7" s="15" t="str">
        <f t="shared" ref="K7:K12" si="2">IF(J7&lt;=1,"Bajo",IF(AND(J7&gt;1,J7&lt;=2.1),"Moderado","Alto"))</f>
        <v>Bajo</v>
      </c>
      <c r="L7" s="15"/>
      <c r="M7" s="35"/>
      <c r="N7" s="15"/>
      <c r="O7" s="15"/>
      <c r="P7" s="15"/>
      <c r="Q7" s="15"/>
      <c r="R7" s="15"/>
    </row>
    <row r="8" spans="2:18" ht="16" thickBot="1" x14ac:dyDescent="0.25">
      <c r="B8" s="19" t="s">
        <v>5</v>
      </c>
      <c r="C8" s="26"/>
      <c r="D8" s="12"/>
      <c r="E8" s="12"/>
      <c r="F8" s="12"/>
      <c r="G8" s="12"/>
      <c r="H8" s="12">
        <f t="shared" si="0"/>
        <v>0</v>
      </c>
      <c r="I8" s="15"/>
      <c r="J8" s="15">
        <f t="shared" si="1"/>
        <v>0</v>
      </c>
      <c r="K8" s="15" t="str">
        <f t="shared" si="2"/>
        <v>Bajo</v>
      </c>
      <c r="L8" s="15"/>
      <c r="M8" s="15"/>
      <c r="N8" s="15"/>
      <c r="O8" s="15"/>
      <c r="P8" s="15"/>
      <c r="Q8" s="15"/>
      <c r="R8" s="15"/>
    </row>
    <row r="9" spans="2:18" ht="16" thickBot="1" x14ac:dyDescent="0.25">
      <c r="B9" s="19" t="s">
        <v>11</v>
      </c>
      <c r="C9" s="26"/>
      <c r="D9" s="15"/>
      <c r="E9" s="15"/>
      <c r="F9" s="15"/>
      <c r="G9" s="15"/>
      <c r="H9" s="12">
        <f t="shared" si="0"/>
        <v>0</v>
      </c>
      <c r="I9" s="15"/>
      <c r="J9" s="15">
        <f t="shared" si="1"/>
        <v>0</v>
      </c>
      <c r="K9" s="15" t="str">
        <f t="shared" si="2"/>
        <v>Bajo</v>
      </c>
      <c r="L9" s="15"/>
      <c r="M9" s="15"/>
      <c r="N9" s="15"/>
      <c r="O9" s="15"/>
      <c r="P9" s="15"/>
      <c r="Q9" s="15"/>
      <c r="R9" s="15"/>
    </row>
    <row r="10" spans="2:18" ht="16" thickBot="1" x14ac:dyDescent="0.25">
      <c r="B10" s="19" t="s">
        <v>12</v>
      </c>
      <c r="C10" s="26"/>
      <c r="D10" s="15"/>
      <c r="E10" s="15"/>
      <c r="F10" s="15"/>
      <c r="G10" s="15"/>
      <c r="H10" s="12">
        <f t="shared" si="0"/>
        <v>0</v>
      </c>
      <c r="I10" s="15"/>
      <c r="J10" s="15">
        <f t="shared" si="1"/>
        <v>0</v>
      </c>
      <c r="K10" s="15" t="str">
        <f t="shared" si="2"/>
        <v>Bajo</v>
      </c>
      <c r="L10" s="15"/>
      <c r="M10" s="15"/>
      <c r="N10" s="15"/>
      <c r="O10" s="15"/>
      <c r="P10" s="15"/>
      <c r="Q10" s="15"/>
      <c r="R10" s="15"/>
    </row>
    <row r="11" spans="2:18" ht="105" customHeight="1" thickBot="1" x14ac:dyDescent="0.25">
      <c r="B11" s="19" t="s">
        <v>13</v>
      </c>
      <c r="C11" s="26"/>
      <c r="D11" s="15"/>
      <c r="E11" s="15"/>
      <c r="F11" s="15"/>
      <c r="G11" s="15"/>
      <c r="H11" s="12">
        <f t="shared" si="0"/>
        <v>0</v>
      </c>
      <c r="I11" s="15"/>
      <c r="J11" s="15">
        <f t="shared" si="1"/>
        <v>0</v>
      </c>
      <c r="K11" s="15" t="str">
        <f t="shared" si="2"/>
        <v>Bajo</v>
      </c>
      <c r="L11" s="15"/>
      <c r="M11" s="35"/>
      <c r="N11" s="15"/>
      <c r="O11" s="15"/>
      <c r="P11" s="15"/>
      <c r="Q11" s="15"/>
      <c r="R11" s="15"/>
    </row>
    <row r="12" spans="2:18" ht="16" thickBot="1" x14ac:dyDescent="0.25">
      <c r="B12" s="19" t="s">
        <v>14</v>
      </c>
      <c r="C12" s="26"/>
      <c r="D12" s="15"/>
      <c r="E12" s="15"/>
      <c r="F12" s="15"/>
      <c r="G12" s="15"/>
      <c r="H12" s="12">
        <f t="shared" si="0"/>
        <v>0</v>
      </c>
      <c r="I12" s="15"/>
      <c r="J12" s="15">
        <f t="shared" si="1"/>
        <v>0</v>
      </c>
      <c r="K12" s="15" t="str">
        <f t="shared" si="2"/>
        <v>Bajo</v>
      </c>
      <c r="L12" s="15"/>
      <c r="M12" s="15"/>
      <c r="N12" s="15"/>
      <c r="O12" s="15"/>
      <c r="P12" s="15"/>
      <c r="Q12" s="15"/>
      <c r="R12" s="15"/>
    </row>
    <row r="15" spans="2:18" x14ac:dyDescent="0.2">
      <c r="C15" s="36"/>
    </row>
    <row r="16" spans="2:18" x14ac:dyDescent="0.2">
      <c r="C16" s="36"/>
    </row>
    <row r="17" spans="3:3" x14ac:dyDescent="0.2">
      <c r="C17" s="36"/>
    </row>
  </sheetData>
  <mergeCells count="13">
    <mergeCell ref="B4:C5"/>
    <mergeCell ref="D4:G4"/>
    <mergeCell ref="H4:H5"/>
    <mergeCell ref="I4:I5"/>
    <mergeCell ref="J4:J5"/>
    <mergeCell ref="P4:P5"/>
    <mergeCell ref="Q4:Q5"/>
    <mergeCell ref="R4:R5"/>
    <mergeCell ref="K4:K5"/>
    <mergeCell ref="L4:L5"/>
    <mergeCell ref="M4:M5"/>
    <mergeCell ref="N4:N5"/>
    <mergeCell ref="O4:O5"/>
  </mergeCells>
  <conditionalFormatting sqref="K6:K12">
    <cfRule type="cellIs" dxfId="2" priority="4" operator="equal">
      <formula>"Bajo"</formula>
    </cfRule>
    <cfRule type="cellIs" dxfId="1" priority="5" operator="equal">
      <formula>"Moderado"</formula>
    </cfRule>
    <cfRule type="cellIs" dxfId="0" priority="6" operator="equal">
      <formula>"alto"</formula>
    </cfRule>
  </conditionalFormatting>
  <dataValidations count="1">
    <dataValidation type="list" allowBlank="1" showInputMessage="1" showErrorMessage="1" sqref="L6:L12" xr:uid="{00000000-0002-0000-0300-000000000000}">
      <formula1>AmenazasDebilidades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18"/>
  <sheetViews>
    <sheetView workbookViewId="0">
      <selection activeCell="I23" sqref="I23"/>
    </sheetView>
  </sheetViews>
  <sheetFormatPr baseColWidth="10" defaultRowHeight="15" x14ac:dyDescent="0.2"/>
  <cols>
    <col min="1" max="1" width="4.83203125" customWidth="1"/>
    <col min="2" max="2" width="4.6640625" customWidth="1"/>
    <col min="3" max="3" width="11.5" style="2"/>
  </cols>
  <sheetData>
    <row r="3" spans="1:8" x14ac:dyDescent="0.2">
      <c r="C3" s="64" t="s">
        <v>18</v>
      </c>
      <c r="D3" s="64"/>
      <c r="E3" s="64"/>
      <c r="F3" s="64"/>
      <c r="G3" s="64"/>
      <c r="H3" s="64"/>
    </row>
    <row r="4" spans="1:8" ht="16" thickBot="1" x14ac:dyDescent="0.25"/>
    <row r="5" spans="1:8" ht="16" thickBot="1" x14ac:dyDescent="0.25">
      <c r="A5" s="65" t="s">
        <v>19</v>
      </c>
      <c r="B5">
        <v>0.9</v>
      </c>
      <c r="C5" s="2" t="s">
        <v>20</v>
      </c>
      <c r="D5" s="21">
        <f>$B$5*D11</f>
        <v>0.9</v>
      </c>
      <c r="E5" s="22">
        <f>$B$5*E11</f>
        <v>1.8</v>
      </c>
      <c r="F5" s="23">
        <f t="shared" ref="F5:H5" si="0">$B$5*F11</f>
        <v>2.7</v>
      </c>
      <c r="G5" s="23">
        <f t="shared" si="0"/>
        <v>3.6</v>
      </c>
      <c r="H5" s="23">
        <f t="shared" si="0"/>
        <v>4.5</v>
      </c>
    </row>
    <row r="6" spans="1:8" ht="16" thickBot="1" x14ac:dyDescent="0.25">
      <c r="A6" s="66"/>
      <c r="B6">
        <v>0.7</v>
      </c>
      <c r="C6" s="2" t="s">
        <v>21</v>
      </c>
      <c r="D6" s="21">
        <f>$B$6*D11</f>
        <v>0.7</v>
      </c>
      <c r="E6" s="22">
        <f t="shared" ref="E6:H6" si="1">$B$6*E11</f>
        <v>1.4</v>
      </c>
      <c r="F6" s="22">
        <f t="shared" si="1"/>
        <v>2.0999999999999996</v>
      </c>
      <c r="G6" s="23">
        <f t="shared" si="1"/>
        <v>2.8</v>
      </c>
      <c r="H6" s="23">
        <f t="shared" si="1"/>
        <v>3.5</v>
      </c>
    </row>
    <row r="7" spans="1:8" ht="16" thickBot="1" x14ac:dyDescent="0.25">
      <c r="A7" s="66"/>
      <c r="B7">
        <v>0.5</v>
      </c>
      <c r="C7" s="2" t="s">
        <v>22</v>
      </c>
      <c r="D7" s="21">
        <f>$B$7*D11</f>
        <v>0.5</v>
      </c>
      <c r="E7" s="21">
        <f t="shared" ref="E7:H7" si="2">$B$7*E11</f>
        <v>1</v>
      </c>
      <c r="F7" s="22">
        <f t="shared" si="2"/>
        <v>1.5</v>
      </c>
      <c r="G7" s="22">
        <f t="shared" si="2"/>
        <v>2</v>
      </c>
      <c r="H7" s="23">
        <f t="shared" si="2"/>
        <v>2.5</v>
      </c>
    </row>
    <row r="8" spans="1:8" ht="16" thickBot="1" x14ac:dyDescent="0.25">
      <c r="A8" s="66"/>
      <c r="B8">
        <v>0.3</v>
      </c>
      <c r="C8" s="2" t="s">
        <v>23</v>
      </c>
      <c r="D8" s="21">
        <f>$B$8*D11</f>
        <v>0.3</v>
      </c>
      <c r="E8" s="21">
        <f t="shared" ref="E8:H8" si="3">$B$8*E11</f>
        <v>0.6</v>
      </c>
      <c r="F8" s="21">
        <f t="shared" si="3"/>
        <v>0.89999999999999991</v>
      </c>
      <c r="G8" s="22">
        <f t="shared" si="3"/>
        <v>1.2</v>
      </c>
      <c r="H8" s="22">
        <f t="shared" si="3"/>
        <v>1.5</v>
      </c>
    </row>
    <row r="9" spans="1:8" ht="16" thickBot="1" x14ac:dyDescent="0.25">
      <c r="A9" s="66"/>
      <c r="B9">
        <v>0.1</v>
      </c>
      <c r="C9" s="2" t="s">
        <v>24</v>
      </c>
      <c r="D9" s="21">
        <f>$B$9*D11</f>
        <v>0.1</v>
      </c>
      <c r="E9" s="21">
        <f t="shared" ref="E9:H9" si="4">$B$9*E11</f>
        <v>0.2</v>
      </c>
      <c r="F9" s="21">
        <f t="shared" si="4"/>
        <v>0.30000000000000004</v>
      </c>
      <c r="G9" s="21">
        <f t="shared" si="4"/>
        <v>0.4</v>
      </c>
      <c r="H9" s="21">
        <f t="shared" si="4"/>
        <v>0.5</v>
      </c>
    </row>
    <row r="10" spans="1:8" x14ac:dyDescent="0.2">
      <c r="A10" s="66"/>
      <c r="D10" s="2" t="s">
        <v>25</v>
      </c>
      <c r="E10" s="2" t="s">
        <v>23</v>
      </c>
      <c r="F10" s="2" t="s">
        <v>22</v>
      </c>
      <c r="G10" s="2" t="s">
        <v>21</v>
      </c>
      <c r="H10" s="2" t="s">
        <v>20</v>
      </c>
    </row>
    <row r="11" spans="1:8" x14ac:dyDescent="0.2">
      <c r="D11" s="2">
        <v>1</v>
      </c>
      <c r="E11" s="2">
        <v>2</v>
      </c>
      <c r="F11" s="2">
        <v>3</v>
      </c>
      <c r="G11" s="2">
        <v>4</v>
      </c>
      <c r="H11" s="2">
        <v>5</v>
      </c>
    </row>
    <row r="12" spans="1:8" x14ac:dyDescent="0.2">
      <c r="A12" s="9"/>
      <c r="B12" s="9"/>
      <c r="C12" s="8"/>
      <c r="D12" s="64" t="s">
        <v>26</v>
      </c>
      <c r="E12" s="64"/>
      <c r="F12" s="64"/>
      <c r="G12" s="64"/>
      <c r="H12" s="64"/>
    </row>
    <row r="13" spans="1:8" ht="16" thickBot="1" x14ac:dyDescent="0.25"/>
    <row r="14" spans="1:8" ht="16" thickBot="1" x14ac:dyDescent="0.25">
      <c r="B14" s="21"/>
      <c r="C14" s="14" t="s">
        <v>23</v>
      </c>
      <c r="D14" s="63" t="s">
        <v>27</v>
      </c>
      <c r="E14" s="63"/>
      <c r="F14" s="63"/>
    </row>
    <row r="15" spans="1:8" ht="16" thickBot="1" x14ac:dyDescent="0.25">
      <c r="B15" s="24"/>
      <c r="C15" s="14" t="s">
        <v>28</v>
      </c>
      <c r="D15" s="63" t="s">
        <v>29</v>
      </c>
      <c r="E15" s="63"/>
      <c r="F15" s="63"/>
    </row>
    <row r="16" spans="1:8" ht="16" thickBot="1" x14ac:dyDescent="0.25">
      <c r="B16" s="25"/>
      <c r="C16" s="14" t="s">
        <v>21</v>
      </c>
      <c r="D16" s="63" t="s">
        <v>30</v>
      </c>
      <c r="E16" s="63"/>
      <c r="F16" s="63"/>
    </row>
    <row r="17" customFormat="1" x14ac:dyDescent="0.2"/>
    <row r="18" customFormat="1" x14ac:dyDescent="0.2"/>
  </sheetData>
  <mergeCells count="6">
    <mergeCell ref="D16:F16"/>
    <mergeCell ref="C3:H3"/>
    <mergeCell ref="A5:A10"/>
    <mergeCell ref="D12:H12"/>
    <mergeCell ref="D14:F14"/>
    <mergeCell ref="D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Fortalezas</vt:lpstr>
      <vt:lpstr>Oportunidades</vt:lpstr>
      <vt:lpstr>Debilidades</vt:lpstr>
      <vt:lpstr>Amenazas</vt:lpstr>
      <vt:lpstr>Probabilidad Vs. Impacto</vt:lpstr>
      <vt:lpstr>AmenazasDebilidades</vt:lpstr>
      <vt:lpstr>OportunidadesFortalezas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94371475</dc:creator>
  <cp:lastModifiedBy>Liliana Machuca</cp:lastModifiedBy>
  <dcterms:created xsi:type="dcterms:W3CDTF">2012-03-31T15:48:47Z</dcterms:created>
  <dcterms:modified xsi:type="dcterms:W3CDTF">2024-03-30T16:43:59Z</dcterms:modified>
</cp:coreProperties>
</file>