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gelgarcia/Documents/CURSOS/INTRODUCCION A LA GP/2024-2/Clase 6 - Estimacion/"/>
    </mc:Choice>
  </mc:AlternateContent>
  <xr:revisionPtr revIDLastSave="0" documentId="13_ncr:1_{8090549B-478B-6749-8D19-081B1598D86F}" xr6:coauthVersionLast="47" xr6:coauthVersionMax="47" xr10:uidLastSave="{00000000-0000-0000-0000-000000000000}"/>
  <bookViews>
    <workbookView xWindow="0" yWindow="0" windowWidth="25600" windowHeight="16000" activeTab="2" xr2:uid="{00000000-000D-0000-FFFF-FFFF00000000}"/>
  </bookViews>
  <sheets>
    <sheet name="Estimar CostosxHora" sheetId="1" r:id="rId1"/>
    <sheet name="Estimar por puntos de historia" sheetId="2" r:id="rId2"/>
    <sheet name="Presupuesto" sheetId="3" r:id="rId3"/>
    <sheet name="costo por recurso o punto de 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J913gI7x+0hh/syGPOB+2+rjAQSyB1uR2K54YWdK3w="/>
    </ext>
  </extLst>
</workbook>
</file>

<file path=xl/calcChain.xml><?xml version="1.0" encoding="utf-8"?>
<calcChain xmlns="http://schemas.openxmlformats.org/spreadsheetml/2006/main">
  <c r="F3" i="2" l="1"/>
  <c r="P3" i="1"/>
  <c r="N3" i="1"/>
  <c r="B64" i="3" l="1"/>
  <c r="B24" i="4"/>
  <c r="C22" i="4"/>
  <c r="C21" i="4"/>
  <c r="C20" i="4"/>
  <c r="C19" i="4"/>
  <c r="C24" i="4" s="1"/>
  <c r="C17" i="4"/>
  <c r="B17" i="4"/>
  <c r="C15" i="4"/>
  <c r="C14" i="4"/>
  <c r="C13" i="4"/>
  <c r="C12" i="4"/>
  <c r="C10" i="4"/>
  <c r="C26" i="4" s="1"/>
  <c r="B62" i="3"/>
  <c r="B66" i="3" s="1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49" i="3" s="1"/>
  <c r="B65" i="3" s="1"/>
  <c r="E35" i="3"/>
  <c r="B28" i="3"/>
  <c r="F15" i="3"/>
  <c r="H15" i="3" s="1"/>
  <c r="E15" i="3"/>
  <c r="E14" i="3"/>
  <c r="F14" i="3" s="1"/>
  <c r="E13" i="3"/>
  <c r="F13" i="3" s="1"/>
  <c r="F12" i="3"/>
  <c r="H12" i="3" s="1"/>
  <c r="E12" i="3"/>
  <c r="E11" i="3"/>
  <c r="F11" i="3" s="1"/>
  <c r="E10" i="3"/>
  <c r="F10" i="3" s="1"/>
  <c r="F28" i="2"/>
  <c r="F27" i="2"/>
  <c r="F26" i="2"/>
  <c r="G17" i="2" s="1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G3" i="2"/>
  <c r="M28" i="1"/>
  <c r="L28" i="1"/>
  <c r="N28" i="1" s="1"/>
  <c r="P28" i="1" s="1"/>
  <c r="R28" i="1" s="1"/>
  <c r="P27" i="1"/>
  <c r="R27" i="1" s="1"/>
  <c r="N27" i="1"/>
  <c r="M27" i="1"/>
  <c r="L27" i="1"/>
  <c r="M26" i="1"/>
  <c r="N26" i="1" s="1"/>
  <c r="P26" i="1" s="1"/>
  <c r="R26" i="1" s="1"/>
  <c r="L26" i="1"/>
  <c r="M25" i="1"/>
  <c r="L25" i="1"/>
  <c r="N25" i="1" s="1"/>
  <c r="P25" i="1" s="1"/>
  <c r="R25" i="1" s="1"/>
  <c r="N24" i="1"/>
  <c r="P24" i="1" s="1"/>
  <c r="R24" i="1" s="1"/>
  <c r="M24" i="1"/>
  <c r="L24" i="1"/>
  <c r="M23" i="1"/>
  <c r="L23" i="1"/>
  <c r="N23" i="1" s="1"/>
  <c r="P23" i="1" s="1"/>
  <c r="R23" i="1" s="1"/>
  <c r="M22" i="1"/>
  <c r="L22" i="1"/>
  <c r="N22" i="1" s="1"/>
  <c r="P22" i="1" s="1"/>
  <c r="R22" i="1" s="1"/>
  <c r="N21" i="1"/>
  <c r="P21" i="1" s="1"/>
  <c r="R21" i="1" s="1"/>
  <c r="M21" i="1"/>
  <c r="L21" i="1"/>
  <c r="M20" i="1"/>
  <c r="N20" i="1" s="1"/>
  <c r="P20" i="1" s="1"/>
  <c r="R20" i="1" s="1"/>
  <c r="L20" i="1"/>
  <c r="M19" i="1"/>
  <c r="L19" i="1"/>
  <c r="N19" i="1" s="1"/>
  <c r="P19" i="1" s="1"/>
  <c r="R19" i="1" s="1"/>
  <c r="M18" i="1"/>
  <c r="L18" i="1"/>
  <c r="N18" i="1" s="1"/>
  <c r="P18" i="1" s="1"/>
  <c r="R18" i="1" s="1"/>
  <c r="N17" i="1"/>
  <c r="P17" i="1" s="1"/>
  <c r="R17" i="1" s="1"/>
  <c r="M17" i="1"/>
  <c r="L17" i="1"/>
  <c r="N16" i="1"/>
  <c r="P16" i="1" s="1"/>
  <c r="R16" i="1" s="1"/>
  <c r="M16" i="1"/>
  <c r="L16" i="1"/>
  <c r="M15" i="1"/>
  <c r="L15" i="1"/>
  <c r="N15" i="1" s="1"/>
  <c r="P15" i="1" s="1"/>
  <c r="R15" i="1" s="1"/>
  <c r="N14" i="1"/>
  <c r="P14" i="1" s="1"/>
  <c r="R14" i="1" s="1"/>
  <c r="M14" i="1"/>
  <c r="L14" i="1"/>
  <c r="M13" i="1"/>
  <c r="N13" i="1" s="1"/>
  <c r="P13" i="1" s="1"/>
  <c r="R13" i="1" s="1"/>
  <c r="L13" i="1"/>
  <c r="M12" i="1"/>
  <c r="L12" i="1"/>
  <c r="N12" i="1" s="1"/>
  <c r="P12" i="1" s="1"/>
  <c r="R12" i="1" s="1"/>
  <c r="M11" i="1"/>
  <c r="L11" i="1"/>
  <c r="N11" i="1" s="1"/>
  <c r="P11" i="1" s="1"/>
  <c r="R11" i="1" s="1"/>
  <c r="M10" i="1"/>
  <c r="N10" i="1" s="1"/>
  <c r="P10" i="1" s="1"/>
  <c r="R10" i="1" s="1"/>
  <c r="L10" i="1"/>
  <c r="M9" i="1"/>
  <c r="N9" i="1" s="1"/>
  <c r="P9" i="1" s="1"/>
  <c r="R9" i="1" s="1"/>
  <c r="L9" i="1"/>
  <c r="M8" i="1"/>
  <c r="L8" i="1"/>
  <c r="N8" i="1" s="1"/>
  <c r="P8" i="1" s="1"/>
  <c r="R8" i="1" s="1"/>
  <c r="M7" i="1"/>
  <c r="N7" i="1" s="1"/>
  <c r="P7" i="1" s="1"/>
  <c r="R7" i="1" s="1"/>
  <c r="L7" i="1"/>
  <c r="M6" i="1"/>
  <c r="L6" i="1"/>
  <c r="N6" i="1" s="1"/>
  <c r="P6" i="1" s="1"/>
  <c r="R6" i="1" s="1"/>
  <c r="N5" i="1"/>
  <c r="P5" i="1" s="1"/>
  <c r="R5" i="1" s="1"/>
  <c r="M5" i="1"/>
  <c r="L5" i="1"/>
  <c r="N4" i="1"/>
  <c r="P4" i="1" s="1"/>
  <c r="R4" i="1" s="1"/>
  <c r="M4" i="1"/>
  <c r="L4" i="1"/>
  <c r="M3" i="1"/>
  <c r="R3" i="1" s="1"/>
  <c r="L3" i="1"/>
  <c r="C28" i="4" l="1"/>
  <c r="C27" i="4"/>
  <c r="H11" i="3"/>
  <c r="G11" i="3"/>
  <c r="H14" i="3"/>
  <c r="G14" i="3"/>
  <c r="H10" i="3"/>
  <c r="G10" i="3"/>
  <c r="H13" i="3"/>
  <c r="G13" i="3"/>
  <c r="S17" i="1"/>
  <c r="S3" i="1"/>
  <c r="G12" i="3"/>
  <c r="G15" i="3"/>
  <c r="H28" i="3" l="1"/>
  <c r="B35" i="4" l="1"/>
  <c r="B36" i="4" s="1"/>
  <c r="B37" i="4" s="1"/>
  <c r="H29" i="3"/>
  <c r="B68" i="3" l="1"/>
  <c r="B67" i="3"/>
  <c r="B6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4" authorId="0" shapeId="0" xr:uid="{00000000-0006-0000-0200-000001000000}">
      <text>
        <r>
          <rPr>
            <sz val="11"/>
            <color rgb="FF000000"/>
            <rFont val="Calibri"/>
            <family val="2"/>
          </rPr>
          <t xml:space="preserve">Probabilidad de aumento de costo de algún equipo o producto requerido. En este sentido, en la planificación se identificó el riesgo que, el precio del equipo o producto podría subir, y se reservó cierto monto para cubrirlo.
</t>
        </r>
        <r>
          <rPr>
            <sz val="11"/>
            <color rgb="FF000000"/>
            <rFont val="Calibri"/>
            <family val="2"/>
          </rPr>
          <t>======</t>
        </r>
      </text>
    </comment>
    <comment ref="B64" authorId="0" shapeId="0" xr:uid="{00000000-0006-0000-0200-000002000000}">
      <text>
        <r>
          <rPr>
            <sz val="11"/>
            <color rgb="FF000000"/>
            <rFont val="Calibri"/>
            <family val="2"/>
          </rPr>
          <t xml:space="preserve">Se puede usar el valor obtenido de los paquetes de trabajo o módulos, en vez de la tabla de la nómina cuando se ha calculado el costo de la hora por recurso
</t>
        </r>
        <r>
          <rPr>
            <sz val="11"/>
            <color rgb="FF000000"/>
            <rFont val="Calibri"/>
            <family val="2"/>
          </rPr>
          <t>======</t>
        </r>
      </text>
    </comment>
    <comment ref="A67" authorId="0" shapeId="0" xr:uid="{00000000-0006-0000-0200-000003000000}">
      <text>
        <r>
          <rPr>
            <sz val="11"/>
            <color rgb="FF000000"/>
            <rFont val="Calibri"/>
            <family val="2"/>
          </rPr>
          <t xml:space="preserve">Puede estar entre el 5 y 10 % del costo total del proyecto.
</t>
        </r>
        <r>
          <rPr>
            <sz val="11"/>
            <color rgb="FF000000"/>
            <rFont val="Calibri"/>
            <family val="2"/>
          </rPr>
          <t xml:space="preserve">Para lo que se llama imprevistos, riesgos no conocidos.
</t>
        </r>
        <r>
          <rPr>
            <sz val="11"/>
            <color rgb="FF000000"/>
            <rFont val="Calibri"/>
            <family val="2"/>
          </rPr>
          <t xml:space="preserve">Por ejemplo:
</t>
        </r>
        <r>
          <rPr>
            <sz val="11"/>
            <color rgb="FF000000"/>
            <rFont val="Calibri"/>
            <family val="2"/>
          </rPr>
          <t xml:space="preserve">10% del valor del proyecto para enfrentar posibles problemas técnicos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<sst xmlns="http://schemas.openxmlformats.org/spreadsheetml/2006/main" count="128" uniqueCount="100">
  <si>
    <t xml:space="preserve">PLANTILLA DE AYUDA PARA COSTOS  </t>
  </si>
  <si>
    <t>PLANTILLA COSTOS</t>
  </si>
  <si>
    <t>Módulo / Épica</t>
  </si>
  <si>
    <t xml:space="preserve">Id. Act 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</si>
  <si>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</si>
  <si>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</si>
  <si>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</si>
  <si>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</si>
  <si>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p</t>
  </si>
  <si>
    <t>m</t>
  </si>
  <si>
    <t>o</t>
  </si>
  <si>
    <t>Esfuerzo (pert) Dias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</si>
  <si>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</si>
  <si>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</si>
  <si>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</si>
  <si>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</si>
  <si>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</si>
  <si>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</si>
  <si>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</si>
  <si>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PLANTILLA DE AYUDA PARA ESTIMACIÓN</t>
  </si>
  <si>
    <t>HU</t>
  </si>
  <si>
    <t>Punto de historia</t>
  </si>
  <si>
    <t>Costo punto de historia</t>
  </si>
  <si>
    <t>costo por Módulo/Épica</t>
  </si>
  <si>
    <t>REGISTRO</t>
  </si>
  <si>
    <t xml:space="preserve">Como usuario, quiero suscribirme a una revista en un sitio web para recibir noticias y promociones.
</t>
  </si>
  <si>
    <t xml:space="preserve">Diseño del formulario de suscripción al boletín
</t>
  </si>
  <si>
    <t>Implementación de la funcionalidad back-end</t>
  </si>
  <si>
    <t>Agregar validación y manejo de errores</t>
  </si>
  <si>
    <t>Pruebas y verificación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</si>
  <si>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</si>
  <si>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</si>
  <si>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</si>
  <si>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</si>
  <si>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</si>
  <si>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</si>
  <si>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</si>
  <si>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</si>
  <si>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</si>
  <si>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</si>
  <si>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</si>
  <si>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</si>
  <si>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</si>
  <si>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</si>
  <si>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>Desarrollador junior</t>
  </si>
  <si>
    <t>Arquitecto</t>
  </si>
  <si>
    <t>Gerente de proyectos</t>
  </si>
  <si>
    <t>DevOps</t>
  </si>
  <si>
    <t>UX Designer</t>
  </si>
  <si>
    <t>QA</t>
  </si>
  <si>
    <t xml:space="preserve"> 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</si>
  <si>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</si>
  <si>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</si>
  <si>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</si>
  <si>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</si>
  <si>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</si>
  <si>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</si>
  <si>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</si>
  <si>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</si>
  <si>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Directo</t>
  </si>
  <si>
    <t xml:space="preserve">TOTAL OTROS COSTOS </t>
  </si>
  <si>
    <t>TIPO DE RESERVA CONTINGENCIA</t>
  </si>
  <si>
    <t>VALOR</t>
  </si>
  <si>
    <t xml:space="preserve">Aumento en el valor de equipo o servicio </t>
  </si>
  <si>
    <t>$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</si>
  <si>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</si>
  <si>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</si>
  <si>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</si>
  <si>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</si>
  <si>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</si>
  <si>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</si>
  <si>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</si>
  <si>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2024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</si>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</sst>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_ ;_ &quot;$&quot;\ * \-#,##0_ ;_ &quot;$&quot;\ * &quot;-&quot;??_ ;_ @_ "/>
    <numFmt numFmtId="165" formatCode="_ * #,##0_ ;_ * \-#,##0_ ;_ * &quot;-&quot;??_ ;_ @_ "/>
    <numFmt numFmtId="166" formatCode="_ * #,##0.0_ ;_ * \-#,##0.0_ ;_ * &quot;-&quot;??_ ;_ @_ "/>
    <numFmt numFmtId="167" formatCode="#,##0.0"/>
    <numFmt numFmtId="168" formatCode="0.000%"/>
  </numFmts>
  <fonts count="23" x14ac:knownFonts="1">
    <font>
      <sz val="11"/>
      <color theme="1"/>
      <name val="Calibri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9"/>
      <color rgb="FFFFFFFF"/>
      <name val="Calibri"/>
      <family val="2"/>
    </font>
    <font>
      <b/>
      <sz val="6"/>
      <color rgb="FF000000"/>
      <name val="Calibri"/>
      <family val="2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31859B"/>
        <bgColor rgb="FF31859B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CFE2F3"/>
        <bgColor rgb="FFCFE2F3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49" fontId="4" fillId="4" borderId="9" xfId="0" applyNumberFormat="1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5" borderId="8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wrapText="1"/>
    </xf>
    <xf numFmtId="0" fontId="7" fillId="0" borderId="6" xfId="0" applyFont="1" applyBorder="1"/>
    <xf numFmtId="0" fontId="7" fillId="0" borderId="1" xfId="0" applyFont="1" applyBorder="1"/>
    <xf numFmtId="9" fontId="7" fillId="0" borderId="6" xfId="0" applyNumberFormat="1" applyFont="1" applyBorder="1"/>
    <xf numFmtId="0" fontId="8" fillId="0" borderId="6" xfId="0" applyFont="1" applyBorder="1"/>
    <xf numFmtId="4" fontId="8" fillId="0" borderId="6" xfId="0" applyNumberFormat="1" applyFont="1" applyBorder="1"/>
    <xf numFmtId="9" fontId="8" fillId="0" borderId="6" xfId="0" applyNumberFormat="1" applyFont="1" applyBorder="1"/>
    <xf numFmtId="2" fontId="8" fillId="0" borderId="6" xfId="0" applyNumberFormat="1" applyFont="1" applyBorder="1"/>
    <xf numFmtId="9" fontId="7" fillId="0" borderId="6" xfId="0" applyNumberFormat="1" applyFont="1" applyBorder="1" applyAlignment="1">
      <alignment horizontal="left"/>
    </xf>
    <xf numFmtId="9" fontId="6" fillId="0" borderId="3" xfId="0" applyNumberFormat="1" applyFont="1" applyBorder="1"/>
    <xf numFmtId="9" fontId="7" fillId="0" borderId="3" xfId="0" applyNumberFormat="1" applyFont="1" applyBorder="1"/>
    <xf numFmtId="0" fontId="6" fillId="0" borderId="14" xfId="0" applyFont="1" applyBorder="1" applyAlignment="1">
      <alignment wrapText="1"/>
    </xf>
    <xf numFmtId="0" fontId="7" fillId="0" borderId="14" xfId="0" applyFont="1" applyBorder="1"/>
    <xf numFmtId="9" fontId="7" fillId="0" borderId="14" xfId="0" applyNumberFormat="1" applyFont="1" applyBorder="1"/>
    <xf numFmtId="0" fontId="11" fillId="0" borderId="6" xfId="0" applyFont="1" applyBorder="1" applyAlignment="1">
      <alignment wrapText="1"/>
    </xf>
    <xf numFmtId="0" fontId="7" fillId="0" borderId="6" xfId="0" applyFont="1" applyBorder="1" applyAlignment="1">
      <alignment horizontal="right"/>
    </xf>
    <xf numFmtId="0" fontId="6" fillId="0" borderId="6" xfId="0" applyFont="1" applyBorder="1"/>
    <xf numFmtId="0" fontId="12" fillId="7" borderId="6" xfId="0" applyFont="1" applyFill="1" applyBorder="1"/>
    <xf numFmtId="9" fontId="13" fillId="8" borderId="6" xfId="0" applyNumberFormat="1" applyFont="1" applyFill="1" applyBorder="1"/>
    <xf numFmtId="164" fontId="13" fillId="8" borderId="19" xfId="0" applyNumberFormat="1" applyFont="1" applyFill="1" applyBorder="1"/>
    <xf numFmtId="0" fontId="8" fillId="8" borderId="19" xfId="0" applyFont="1" applyFill="1" applyBorder="1"/>
    <xf numFmtId="0" fontId="8" fillId="8" borderId="6" xfId="0" applyFont="1" applyFill="1" applyBorder="1"/>
    <xf numFmtId="0" fontId="14" fillId="10" borderId="26" xfId="0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14" fillId="10" borderId="29" xfId="0" applyFont="1" applyFill="1" applyBorder="1" applyAlignment="1">
      <alignment horizontal="center" vertical="center" wrapText="1"/>
    </xf>
    <xf numFmtId="0" fontId="13" fillId="8" borderId="30" xfId="0" applyFont="1" applyFill="1" applyBorder="1"/>
    <xf numFmtId="165" fontId="13" fillId="8" borderId="6" xfId="0" applyNumberFormat="1" applyFont="1" applyFill="1" applyBorder="1" applyAlignment="1">
      <alignment horizontal="center"/>
    </xf>
    <xf numFmtId="164" fontId="8" fillId="8" borderId="6" xfId="0" applyNumberFormat="1" applyFont="1" applyFill="1" applyBorder="1"/>
    <xf numFmtId="164" fontId="13" fillId="8" borderId="6" xfId="0" applyNumberFormat="1" applyFont="1" applyFill="1" applyBorder="1"/>
    <xf numFmtId="165" fontId="13" fillId="0" borderId="6" xfId="0" applyNumberFormat="1" applyFont="1" applyBorder="1"/>
    <xf numFmtId="165" fontId="13" fillId="0" borderId="1" xfId="0" applyNumberFormat="1" applyFont="1" applyBorder="1"/>
    <xf numFmtId="165" fontId="13" fillId="0" borderId="31" xfId="0" applyNumberFormat="1" applyFont="1" applyBorder="1"/>
    <xf numFmtId="165" fontId="13" fillId="8" borderId="6" xfId="0" applyNumberFormat="1" applyFont="1" applyFill="1" applyBorder="1" applyAlignment="1">
      <alignment horizontal="left"/>
    </xf>
    <xf numFmtId="0" fontId="15" fillId="0" borderId="30" xfId="0" applyFont="1" applyBorder="1" applyAlignment="1">
      <alignment wrapText="1"/>
    </xf>
    <xf numFmtId="165" fontId="13" fillId="11" borderId="6" xfId="0" applyNumberFormat="1" applyFont="1" applyFill="1" applyBorder="1" applyAlignment="1">
      <alignment horizontal="center"/>
    </xf>
    <xf numFmtId="165" fontId="13" fillId="8" borderId="6" xfId="0" applyNumberFormat="1" applyFont="1" applyFill="1" applyBorder="1"/>
    <xf numFmtId="165" fontId="13" fillId="0" borderId="6" xfId="0" applyNumberFormat="1" applyFont="1" applyBorder="1" applyAlignment="1">
      <alignment horizontal="center"/>
    </xf>
    <xf numFmtId="0" fontId="13" fillId="0" borderId="30" xfId="0" applyFont="1" applyBorder="1" applyAlignment="1">
      <alignment wrapText="1"/>
    </xf>
    <xf numFmtId="0" fontId="13" fillId="0" borderId="6" xfId="0" applyFont="1" applyBorder="1" applyAlignment="1">
      <alignment wrapText="1"/>
    </xf>
    <xf numFmtId="166" fontId="13" fillId="0" borderId="6" xfId="0" applyNumberFormat="1" applyFont="1" applyBorder="1" applyAlignment="1">
      <alignment horizontal="center"/>
    </xf>
    <xf numFmtId="0" fontId="13" fillId="0" borderId="6" xfId="0" applyFont="1" applyBorder="1"/>
    <xf numFmtId="0" fontId="13" fillId="0" borderId="6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6" xfId="0" applyFont="1" applyBorder="1" applyAlignment="1">
      <alignment horizontal="right"/>
    </xf>
    <xf numFmtId="165" fontId="16" fillId="0" borderId="6" xfId="0" applyNumberFormat="1" applyFont="1" applyBorder="1"/>
    <xf numFmtId="0" fontId="17" fillId="8" borderId="6" xfId="0" applyFont="1" applyFill="1" applyBorder="1"/>
    <xf numFmtId="0" fontId="8" fillId="8" borderId="0" xfId="0" applyFont="1" applyFill="1"/>
    <xf numFmtId="0" fontId="14" fillId="10" borderId="30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/>
    </xf>
    <xf numFmtId="3" fontId="13" fillId="0" borderId="6" xfId="0" applyNumberFormat="1" applyFont="1" applyBorder="1"/>
    <xf numFmtId="3" fontId="13" fillId="0" borderId="6" xfId="0" applyNumberFormat="1" applyFont="1" applyBorder="1" applyAlignment="1">
      <alignment vertical="center"/>
    </xf>
    <xf numFmtId="0" fontId="13" fillId="8" borderId="30" xfId="0" applyFont="1" applyFill="1" applyBorder="1" applyAlignment="1">
      <alignment vertical="center" wrapText="1"/>
    </xf>
    <xf numFmtId="9" fontId="13" fillId="0" borderId="6" xfId="0" applyNumberFormat="1" applyFont="1" applyBorder="1"/>
    <xf numFmtId="0" fontId="13" fillId="0" borderId="30" xfId="0" applyFont="1" applyBorder="1" applyAlignment="1">
      <alignment horizontal="left" wrapText="1"/>
    </xf>
    <xf numFmtId="167" fontId="13" fillId="0" borderId="6" xfId="0" applyNumberFormat="1" applyFont="1" applyBorder="1"/>
    <xf numFmtId="0" fontId="13" fillId="12" borderId="30" xfId="0" applyFont="1" applyFill="1" applyBorder="1" applyAlignment="1">
      <alignment horizontal="left" wrapText="1"/>
    </xf>
    <xf numFmtId="3" fontId="13" fillId="12" borderId="6" xfId="0" applyNumberFormat="1" applyFont="1" applyFill="1" applyBorder="1"/>
    <xf numFmtId="3" fontId="16" fillId="12" borderId="6" xfId="0" applyNumberFormat="1" applyFont="1" applyFill="1" applyBorder="1" applyAlignment="1">
      <alignment horizontal="right"/>
    </xf>
    <xf numFmtId="3" fontId="8" fillId="12" borderId="6" xfId="0" applyNumberFormat="1" applyFont="1" applyFill="1" applyBorder="1"/>
    <xf numFmtId="0" fontId="18" fillId="13" borderId="6" xfId="0" applyFont="1" applyFill="1" applyBorder="1" applyAlignment="1">
      <alignment horizontal="center"/>
    </xf>
    <xf numFmtId="0" fontId="18" fillId="13" borderId="6" xfId="0" applyFont="1" applyFill="1" applyBorder="1"/>
    <xf numFmtId="0" fontId="19" fillId="14" borderId="6" xfId="0" applyFont="1" applyFill="1" applyBorder="1"/>
    <xf numFmtId="165" fontId="19" fillId="14" borderId="6" xfId="0" applyNumberFormat="1" applyFont="1" applyFill="1" applyBorder="1"/>
    <xf numFmtId="3" fontId="19" fillId="14" borderId="6" xfId="0" applyNumberFormat="1" applyFont="1" applyFill="1" applyBorder="1"/>
    <xf numFmtId="0" fontId="19" fillId="15" borderId="6" xfId="0" applyFont="1" applyFill="1" applyBorder="1"/>
    <xf numFmtId="0" fontId="19" fillId="5" borderId="6" xfId="0" applyFont="1" applyFill="1" applyBorder="1"/>
    <xf numFmtId="165" fontId="19" fillId="5" borderId="6" xfId="0" applyNumberFormat="1" applyFont="1" applyFill="1" applyBorder="1"/>
    <xf numFmtId="0" fontId="20" fillId="16" borderId="6" xfId="0" applyFont="1" applyFill="1" applyBorder="1"/>
    <xf numFmtId="165" fontId="20" fillId="16" borderId="6" xfId="0" applyNumberFormat="1" applyFont="1" applyFill="1" applyBorder="1"/>
    <xf numFmtId="0" fontId="20" fillId="17" borderId="6" xfId="0" applyFont="1" applyFill="1" applyBorder="1"/>
    <xf numFmtId="165" fontId="20" fillId="17" borderId="6" xfId="0" applyNumberFormat="1" applyFont="1" applyFill="1" applyBorder="1"/>
    <xf numFmtId="0" fontId="21" fillId="0" borderId="0" xfId="0" applyFont="1"/>
    <xf numFmtId="0" fontId="8" fillId="0" borderId="0" xfId="0" applyFont="1"/>
    <xf numFmtId="0" fontId="22" fillId="0" borderId="0" xfId="0" applyFont="1"/>
    <xf numFmtId="0" fontId="17" fillId="18" borderId="19" xfId="0" applyFont="1" applyFill="1" applyBorder="1" applyAlignment="1">
      <alignment horizontal="center"/>
    </xf>
    <xf numFmtId="0" fontId="17" fillId="0" borderId="6" xfId="0" applyFont="1" applyBorder="1"/>
    <xf numFmtId="168" fontId="8" fillId="0" borderId="6" xfId="0" applyNumberFormat="1" applyFont="1" applyBorder="1"/>
    <xf numFmtId="10" fontId="8" fillId="0" borderId="6" xfId="0" applyNumberFormat="1" applyFont="1" applyBorder="1"/>
    <xf numFmtId="4" fontId="8" fillId="19" borderId="6" xfId="0" applyNumberFormat="1" applyFont="1" applyFill="1" applyBorder="1"/>
    <xf numFmtId="0" fontId="17" fillId="0" borderId="0" xfId="0" applyFont="1"/>
    <xf numFmtId="4" fontId="8" fillId="0" borderId="0" xfId="0" applyNumberFormat="1" applyFont="1"/>
    <xf numFmtId="0" fontId="17" fillId="20" borderId="6" xfId="0" applyFont="1" applyFill="1" applyBorder="1"/>
    <xf numFmtId="0" fontId="21" fillId="20" borderId="6" xfId="0" applyFont="1" applyFill="1" applyBorder="1"/>
    <xf numFmtId="4" fontId="22" fillId="0" borderId="6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49" fontId="4" fillId="4" borderId="10" xfId="0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0" fontId="5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7" fillId="0" borderId="1" xfId="0" applyFont="1" applyBorder="1"/>
    <xf numFmtId="2" fontId="8" fillId="0" borderId="14" xfId="0" applyNumberFormat="1" applyFont="1" applyBorder="1" applyAlignment="1">
      <alignment horizontal="center"/>
    </xf>
    <xf numFmtId="0" fontId="2" fillId="0" borderId="18" xfId="0" applyFont="1" applyBorder="1"/>
    <xf numFmtId="0" fontId="7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5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/>
    <xf numFmtId="0" fontId="9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wrapText="1"/>
    </xf>
    <xf numFmtId="4" fontId="8" fillId="0" borderId="14" xfId="0" applyNumberFormat="1" applyFont="1" applyBorder="1" applyAlignment="1">
      <alignment horizontal="center"/>
    </xf>
    <xf numFmtId="0" fontId="14" fillId="9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14" fillId="9" borderId="23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14" fillId="9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2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workbookViewId="0">
      <selection activeCell="O4" sqref="O4"/>
    </sheetView>
  </sheetViews>
  <sheetFormatPr baseColWidth="10" defaultColWidth="14.5" defaultRowHeight="15" customHeight="1" x14ac:dyDescent="0.2"/>
  <cols>
    <col min="1" max="1" width="10.6640625" customWidth="1"/>
    <col min="2" max="2" width="5.5" customWidth="1"/>
    <col min="3" max="3" width="27" customWidth="1"/>
    <col min="4" max="4" width="10.1640625" customWidth="1"/>
    <col min="5" max="6" width="10.6640625" customWidth="1"/>
    <col min="7" max="7" width="18.83203125" customWidth="1"/>
    <col min="8" max="8" width="14.33203125" customWidth="1"/>
    <col min="9" max="9" width="5.83203125" customWidth="1"/>
    <col min="10" max="10" width="9.5" customWidth="1"/>
    <col min="11" max="11" width="6.1640625" customWidth="1"/>
    <col min="12" max="12" width="11.33203125" customWidth="1"/>
    <col min="13" max="13" width="8.6640625" customWidth="1"/>
    <col min="14" max="14" width="12.83203125" customWidth="1"/>
    <col min="15" max="16" width="12.5" customWidth="1"/>
    <col min="17" max="22" width="10.6640625" customWidth="1"/>
  </cols>
  <sheetData>
    <row r="1" spans="1:19" ht="28.5" customHeight="1" x14ac:dyDescent="0.25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6"/>
      <c r="Q1" s="97" t="s">
        <v>1</v>
      </c>
      <c r="R1" s="98"/>
      <c r="S1" s="98"/>
    </row>
    <row r="2" spans="1:19" ht="75.75" customHeight="1" x14ac:dyDescent="0.2">
      <c r="A2" s="1" t="s">
        <v>2</v>
      </c>
      <c r="B2" s="2" t="s">
        <v>3</v>
      </c>
      <c r="C2" s="3" t="s">
        <v>4</v>
      </c>
      <c r="D2" s="4" t="s">
        <v>5</v>
      </c>
      <c r="E2" s="99" t="s">
        <v>6</v>
      </c>
      <c r="F2" s="98"/>
      <c r="G2" s="100"/>
      <c r="H2" s="5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6" t="s">
        <v>16</v>
      </c>
      <c r="R2" s="6" t="s">
        <v>17</v>
      </c>
      <c r="S2" s="7" t="s">
        <v>18</v>
      </c>
    </row>
    <row r="3" spans="1:19" x14ac:dyDescent="0.2">
      <c r="A3" s="101"/>
      <c r="B3" s="8"/>
      <c r="C3" s="8"/>
      <c r="D3" s="9"/>
      <c r="E3" s="103"/>
      <c r="F3" s="95"/>
      <c r="G3" s="96"/>
      <c r="H3" s="11"/>
      <c r="I3" s="12">
        <v>20</v>
      </c>
      <c r="J3" s="12">
        <v>16</v>
      </c>
      <c r="K3" s="12">
        <v>15</v>
      </c>
      <c r="L3" s="12">
        <f t="shared" ref="L3:L28" si="0">(I3+4*J3+K3)/6</f>
        <v>16.5</v>
      </c>
      <c r="M3" s="13">
        <f t="shared" ref="M3:M28" si="1">(I3-K3)/6</f>
        <v>0.83333333333333337</v>
      </c>
      <c r="N3" s="13">
        <f>(L3+M3)*8</f>
        <v>138.66666666666666</v>
      </c>
      <c r="O3" s="14">
        <v>0.5</v>
      </c>
      <c r="P3" s="13">
        <f>N3*O3</f>
        <v>69.333333333333329</v>
      </c>
      <c r="Q3" s="15">
        <v>15000</v>
      </c>
      <c r="R3" s="15">
        <f t="shared" ref="R3:R28" si="2">Q3*P3</f>
        <v>1039999.9999999999</v>
      </c>
      <c r="S3" s="104">
        <f>SUM(R3:R16)</f>
        <v>1039999.9999999999</v>
      </c>
    </row>
    <row r="4" spans="1:19" x14ac:dyDescent="0.2">
      <c r="A4" s="102"/>
      <c r="B4" s="8"/>
      <c r="C4" s="8"/>
      <c r="D4" s="9"/>
      <c r="E4" s="103"/>
      <c r="F4" s="95"/>
      <c r="G4" s="96"/>
      <c r="H4" s="11"/>
      <c r="I4" s="12"/>
      <c r="J4" s="12"/>
      <c r="K4" s="12"/>
      <c r="L4" s="12">
        <f t="shared" si="0"/>
        <v>0</v>
      </c>
      <c r="M4" s="13">
        <f t="shared" si="1"/>
        <v>0</v>
      </c>
      <c r="N4" s="13">
        <f t="shared" ref="N3:N28" si="3">(L4+M4)*8</f>
        <v>0</v>
      </c>
      <c r="O4" s="14">
        <v>1</v>
      </c>
      <c r="P4" s="13">
        <f t="shared" ref="P3:P28" si="4">N4*O4</f>
        <v>0</v>
      </c>
      <c r="Q4" s="15"/>
      <c r="R4" s="15">
        <f t="shared" si="2"/>
        <v>0</v>
      </c>
      <c r="S4" s="102"/>
    </row>
    <row r="5" spans="1:19" x14ac:dyDescent="0.2">
      <c r="A5" s="102"/>
      <c r="B5" s="8"/>
      <c r="C5" s="8"/>
      <c r="D5" s="9"/>
      <c r="E5" s="110"/>
      <c r="F5" s="95"/>
      <c r="G5" s="96"/>
      <c r="H5" s="16"/>
      <c r="I5" s="12"/>
      <c r="J5" s="12"/>
      <c r="K5" s="12"/>
      <c r="L5" s="12">
        <f t="shared" si="0"/>
        <v>0</v>
      </c>
      <c r="M5" s="13">
        <f t="shared" si="1"/>
        <v>0</v>
      </c>
      <c r="N5" s="13">
        <f t="shared" si="3"/>
        <v>0</v>
      </c>
      <c r="O5" s="14">
        <v>1</v>
      </c>
      <c r="P5" s="13">
        <f t="shared" si="4"/>
        <v>0</v>
      </c>
      <c r="Q5" s="15"/>
      <c r="R5" s="15">
        <f t="shared" si="2"/>
        <v>0</v>
      </c>
      <c r="S5" s="102"/>
    </row>
    <row r="6" spans="1:19" x14ac:dyDescent="0.2">
      <c r="A6" s="102"/>
      <c r="B6" s="8"/>
      <c r="C6" s="8"/>
      <c r="D6" s="9"/>
      <c r="E6" s="103"/>
      <c r="F6" s="95"/>
      <c r="G6" s="96"/>
      <c r="H6" s="11"/>
      <c r="I6" s="12"/>
      <c r="J6" s="12"/>
      <c r="K6" s="12"/>
      <c r="L6" s="12">
        <f t="shared" si="0"/>
        <v>0</v>
      </c>
      <c r="M6" s="13">
        <f t="shared" si="1"/>
        <v>0</v>
      </c>
      <c r="N6" s="13">
        <f t="shared" si="3"/>
        <v>0</v>
      </c>
      <c r="O6" s="14">
        <v>1</v>
      </c>
      <c r="P6" s="13">
        <f t="shared" si="4"/>
        <v>0</v>
      </c>
      <c r="Q6" s="15"/>
      <c r="R6" s="15">
        <f t="shared" si="2"/>
        <v>0</v>
      </c>
      <c r="S6" s="102"/>
    </row>
    <row r="7" spans="1:19" x14ac:dyDescent="0.2">
      <c r="A7" s="102"/>
      <c r="B7" s="8"/>
      <c r="C7" s="8"/>
      <c r="D7" s="9"/>
      <c r="E7" s="103"/>
      <c r="F7" s="95"/>
      <c r="G7" s="96"/>
      <c r="H7" s="11"/>
      <c r="I7" s="12"/>
      <c r="J7" s="12"/>
      <c r="K7" s="12"/>
      <c r="L7" s="12">
        <f t="shared" si="0"/>
        <v>0</v>
      </c>
      <c r="M7" s="13">
        <f t="shared" si="1"/>
        <v>0</v>
      </c>
      <c r="N7" s="13">
        <f t="shared" si="3"/>
        <v>0</v>
      </c>
      <c r="O7" s="14">
        <v>1</v>
      </c>
      <c r="P7" s="13">
        <f t="shared" si="4"/>
        <v>0</v>
      </c>
      <c r="Q7" s="15"/>
      <c r="R7" s="15">
        <f t="shared" si="2"/>
        <v>0</v>
      </c>
      <c r="S7" s="102"/>
    </row>
    <row r="8" spans="1:19" x14ac:dyDescent="0.2">
      <c r="A8" s="102"/>
      <c r="B8" s="8"/>
      <c r="C8" s="8"/>
      <c r="D8" s="9"/>
      <c r="E8" s="103"/>
      <c r="F8" s="95"/>
      <c r="G8" s="96"/>
      <c r="H8" s="11"/>
      <c r="I8" s="12"/>
      <c r="J8" s="12"/>
      <c r="K8" s="12"/>
      <c r="L8" s="12">
        <f t="shared" si="0"/>
        <v>0</v>
      </c>
      <c r="M8" s="13">
        <f t="shared" si="1"/>
        <v>0</v>
      </c>
      <c r="N8" s="13">
        <f t="shared" si="3"/>
        <v>0</v>
      </c>
      <c r="O8" s="14">
        <v>1</v>
      </c>
      <c r="P8" s="13">
        <f t="shared" si="4"/>
        <v>0</v>
      </c>
      <c r="Q8" s="15"/>
      <c r="R8" s="15">
        <f t="shared" si="2"/>
        <v>0</v>
      </c>
      <c r="S8" s="102"/>
    </row>
    <row r="9" spans="1:19" x14ac:dyDescent="0.2">
      <c r="A9" s="102"/>
      <c r="B9" s="8"/>
      <c r="C9" s="8"/>
      <c r="D9" s="10"/>
      <c r="E9" s="111"/>
      <c r="F9" s="95"/>
      <c r="G9" s="96"/>
      <c r="H9" s="17"/>
      <c r="I9" s="12"/>
      <c r="J9" s="12"/>
      <c r="K9" s="12"/>
      <c r="L9" s="12">
        <f t="shared" si="0"/>
        <v>0</v>
      </c>
      <c r="M9" s="13">
        <f t="shared" si="1"/>
        <v>0</v>
      </c>
      <c r="N9" s="13">
        <f t="shared" si="3"/>
        <v>0</v>
      </c>
      <c r="O9" s="14">
        <v>1</v>
      </c>
      <c r="P9" s="13">
        <f t="shared" si="4"/>
        <v>0</v>
      </c>
      <c r="Q9" s="15"/>
      <c r="R9" s="15">
        <f t="shared" si="2"/>
        <v>0</v>
      </c>
      <c r="S9" s="102"/>
    </row>
    <row r="10" spans="1:19" x14ac:dyDescent="0.2">
      <c r="A10" s="102"/>
      <c r="B10" s="8"/>
      <c r="C10" s="8"/>
      <c r="D10" s="10"/>
      <c r="E10" s="103"/>
      <c r="F10" s="95"/>
      <c r="G10" s="96"/>
      <c r="H10" s="18"/>
      <c r="I10" s="12"/>
      <c r="J10" s="12"/>
      <c r="K10" s="12"/>
      <c r="L10" s="12">
        <f t="shared" si="0"/>
        <v>0</v>
      </c>
      <c r="M10" s="13">
        <f t="shared" si="1"/>
        <v>0</v>
      </c>
      <c r="N10" s="13">
        <f t="shared" si="3"/>
        <v>0</v>
      </c>
      <c r="O10" s="14">
        <v>1</v>
      </c>
      <c r="P10" s="13">
        <f t="shared" si="4"/>
        <v>0</v>
      </c>
      <c r="Q10" s="15"/>
      <c r="R10" s="15">
        <f t="shared" si="2"/>
        <v>0</v>
      </c>
      <c r="S10" s="102"/>
    </row>
    <row r="11" spans="1:19" x14ac:dyDescent="0.2">
      <c r="A11" s="102"/>
      <c r="B11" s="8"/>
      <c r="C11" s="8"/>
      <c r="D11" s="9"/>
      <c r="E11" s="103"/>
      <c r="F11" s="95"/>
      <c r="G11" s="96"/>
      <c r="H11" s="11"/>
      <c r="I11" s="12"/>
      <c r="J11" s="12"/>
      <c r="K11" s="12"/>
      <c r="L11" s="12">
        <f t="shared" si="0"/>
        <v>0</v>
      </c>
      <c r="M11" s="13">
        <f t="shared" si="1"/>
        <v>0</v>
      </c>
      <c r="N11" s="13">
        <f t="shared" si="3"/>
        <v>0</v>
      </c>
      <c r="O11" s="14">
        <v>1</v>
      </c>
      <c r="P11" s="13">
        <f t="shared" si="4"/>
        <v>0</v>
      </c>
      <c r="Q11" s="15"/>
      <c r="R11" s="15">
        <f t="shared" si="2"/>
        <v>0</v>
      </c>
      <c r="S11" s="102"/>
    </row>
    <row r="12" spans="1:19" x14ac:dyDescent="0.2">
      <c r="A12" s="102"/>
      <c r="B12" s="8"/>
      <c r="C12" s="8"/>
      <c r="D12" s="9"/>
      <c r="E12" s="103"/>
      <c r="F12" s="95"/>
      <c r="G12" s="96"/>
      <c r="H12" s="11"/>
      <c r="I12" s="12"/>
      <c r="J12" s="12"/>
      <c r="K12" s="12"/>
      <c r="L12" s="12">
        <f t="shared" si="0"/>
        <v>0</v>
      </c>
      <c r="M12" s="13">
        <f t="shared" si="1"/>
        <v>0</v>
      </c>
      <c r="N12" s="13">
        <f t="shared" si="3"/>
        <v>0</v>
      </c>
      <c r="O12" s="14">
        <v>1</v>
      </c>
      <c r="P12" s="13">
        <f t="shared" si="4"/>
        <v>0</v>
      </c>
      <c r="Q12" s="15"/>
      <c r="R12" s="15">
        <f t="shared" si="2"/>
        <v>0</v>
      </c>
      <c r="S12" s="102"/>
    </row>
    <row r="13" spans="1:19" x14ac:dyDescent="0.2">
      <c r="A13" s="102"/>
      <c r="B13" s="8"/>
      <c r="C13" s="8"/>
      <c r="D13" s="9"/>
      <c r="E13" s="103"/>
      <c r="F13" s="95"/>
      <c r="G13" s="96"/>
      <c r="H13" s="11"/>
      <c r="I13" s="12"/>
      <c r="J13" s="12"/>
      <c r="K13" s="12"/>
      <c r="L13" s="12">
        <f t="shared" si="0"/>
        <v>0</v>
      </c>
      <c r="M13" s="13">
        <f t="shared" si="1"/>
        <v>0</v>
      </c>
      <c r="N13" s="13">
        <f t="shared" si="3"/>
        <v>0</v>
      </c>
      <c r="O13" s="14">
        <v>1</v>
      </c>
      <c r="P13" s="13">
        <f t="shared" si="4"/>
        <v>0</v>
      </c>
      <c r="Q13" s="15"/>
      <c r="R13" s="15">
        <f t="shared" si="2"/>
        <v>0</v>
      </c>
      <c r="S13" s="102"/>
    </row>
    <row r="14" spans="1:19" x14ac:dyDescent="0.2">
      <c r="A14" s="102"/>
      <c r="B14" s="8"/>
      <c r="C14" s="8"/>
      <c r="D14" s="9"/>
      <c r="E14" s="103"/>
      <c r="F14" s="95"/>
      <c r="G14" s="96"/>
      <c r="H14" s="11"/>
      <c r="I14" s="12"/>
      <c r="J14" s="12"/>
      <c r="K14" s="12"/>
      <c r="L14" s="12">
        <f t="shared" si="0"/>
        <v>0</v>
      </c>
      <c r="M14" s="13">
        <f t="shared" si="1"/>
        <v>0</v>
      </c>
      <c r="N14" s="13">
        <f t="shared" si="3"/>
        <v>0</v>
      </c>
      <c r="O14" s="14">
        <v>1</v>
      </c>
      <c r="P14" s="13">
        <f t="shared" si="4"/>
        <v>0</v>
      </c>
      <c r="Q14" s="15"/>
      <c r="R14" s="15">
        <f t="shared" si="2"/>
        <v>0</v>
      </c>
      <c r="S14" s="102"/>
    </row>
    <row r="15" spans="1:19" x14ac:dyDescent="0.2">
      <c r="A15" s="102"/>
      <c r="B15" s="8"/>
      <c r="C15" s="8"/>
      <c r="D15" s="9"/>
      <c r="E15" s="103"/>
      <c r="F15" s="95"/>
      <c r="G15" s="96"/>
      <c r="H15" s="11"/>
      <c r="I15" s="12"/>
      <c r="J15" s="12"/>
      <c r="K15" s="12"/>
      <c r="L15" s="12">
        <f t="shared" si="0"/>
        <v>0</v>
      </c>
      <c r="M15" s="13">
        <f t="shared" si="1"/>
        <v>0</v>
      </c>
      <c r="N15" s="13">
        <f t="shared" si="3"/>
        <v>0</v>
      </c>
      <c r="O15" s="14">
        <v>1</v>
      </c>
      <c r="P15" s="13">
        <f t="shared" si="4"/>
        <v>0</v>
      </c>
      <c r="Q15" s="15"/>
      <c r="R15" s="15">
        <f t="shared" si="2"/>
        <v>0</v>
      </c>
      <c r="S15" s="102"/>
    </row>
    <row r="16" spans="1:19" x14ac:dyDescent="0.2">
      <c r="A16" s="102"/>
      <c r="B16" s="19"/>
      <c r="C16" s="19"/>
      <c r="D16" s="20"/>
      <c r="E16" s="106"/>
      <c r="F16" s="107"/>
      <c r="G16" s="108"/>
      <c r="H16" s="21"/>
      <c r="I16" s="12"/>
      <c r="J16" s="12"/>
      <c r="K16" s="12"/>
      <c r="L16" s="12">
        <f t="shared" si="0"/>
        <v>0</v>
      </c>
      <c r="M16" s="13">
        <f t="shared" si="1"/>
        <v>0</v>
      </c>
      <c r="N16" s="13">
        <f t="shared" si="3"/>
        <v>0</v>
      </c>
      <c r="O16" s="14">
        <v>1</v>
      </c>
      <c r="P16" s="13">
        <f t="shared" si="4"/>
        <v>0</v>
      </c>
      <c r="Q16" s="15"/>
      <c r="R16" s="15">
        <f t="shared" si="2"/>
        <v>0</v>
      </c>
      <c r="S16" s="105"/>
    </row>
    <row r="17" spans="1:19" x14ac:dyDescent="0.2">
      <c r="A17" s="109"/>
      <c r="B17" s="8"/>
      <c r="C17" s="8"/>
      <c r="D17" s="9"/>
      <c r="E17" s="103"/>
      <c r="F17" s="95"/>
      <c r="G17" s="96"/>
      <c r="H17" s="11"/>
      <c r="I17" s="12"/>
      <c r="J17" s="12"/>
      <c r="K17" s="12"/>
      <c r="L17" s="12">
        <f t="shared" si="0"/>
        <v>0</v>
      </c>
      <c r="M17" s="13">
        <f t="shared" si="1"/>
        <v>0</v>
      </c>
      <c r="N17" s="13">
        <f t="shared" si="3"/>
        <v>0</v>
      </c>
      <c r="O17" s="14">
        <v>1</v>
      </c>
      <c r="P17" s="13">
        <f t="shared" si="4"/>
        <v>0</v>
      </c>
      <c r="Q17" s="15"/>
      <c r="R17" s="15">
        <f t="shared" si="2"/>
        <v>0</v>
      </c>
      <c r="S17" s="104">
        <f>SUM(R17:R28)</f>
        <v>0</v>
      </c>
    </row>
    <row r="18" spans="1:19" x14ac:dyDescent="0.2">
      <c r="A18" s="102"/>
      <c r="B18" s="8"/>
      <c r="C18" s="8"/>
      <c r="D18" s="9"/>
      <c r="E18" s="103"/>
      <c r="F18" s="95"/>
      <c r="G18" s="96"/>
      <c r="H18" s="11"/>
      <c r="I18" s="12"/>
      <c r="J18" s="12"/>
      <c r="K18" s="12"/>
      <c r="L18" s="12">
        <f t="shared" si="0"/>
        <v>0</v>
      </c>
      <c r="M18" s="13">
        <f t="shared" si="1"/>
        <v>0</v>
      </c>
      <c r="N18" s="13">
        <f t="shared" si="3"/>
        <v>0</v>
      </c>
      <c r="O18" s="14">
        <v>1</v>
      </c>
      <c r="P18" s="13">
        <f t="shared" si="4"/>
        <v>0</v>
      </c>
      <c r="Q18" s="15"/>
      <c r="R18" s="15">
        <f t="shared" si="2"/>
        <v>0</v>
      </c>
      <c r="S18" s="102"/>
    </row>
    <row r="19" spans="1:19" x14ac:dyDescent="0.2">
      <c r="A19" s="102"/>
      <c r="B19" s="8"/>
      <c r="C19" s="8"/>
      <c r="D19" s="9"/>
      <c r="E19" s="103"/>
      <c r="F19" s="95"/>
      <c r="G19" s="96"/>
      <c r="H19" s="11"/>
      <c r="I19" s="12"/>
      <c r="J19" s="12"/>
      <c r="K19" s="12"/>
      <c r="L19" s="12">
        <f t="shared" si="0"/>
        <v>0</v>
      </c>
      <c r="M19" s="13">
        <f t="shared" si="1"/>
        <v>0</v>
      </c>
      <c r="N19" s="13">
        <f t="shared" si="3"/>
        <v>0</v>
      </c>
      <c r="O19" s="14">
        <v>1</v>
      </c>
      <c r="P19" s="13">
        <f t="shared" si="4"/>
        <v>0</v>
      </c>
      <c r="Q19" s="15"/>
      <c r="R19" s="15">
        <f t="shared" si="2"/>
        <v>0</v>
      </c>
      <c r="S19" s="102"/>
    </row>
    <row r="20" spans="1:19" x14ac:dyDescent="0.2">
      <c r="A20" s="102"/>
      <c r="B20" s="8"/>
      <c r="C20" s="8"/>
      <c r="D20" s="9"/>
      <c r="E20" s="103"/>
      <c r="F20" s="95"/>
      <c r="G20" s="96"/>
      <c r="H20" s="11"/>
      <c r="I20" s="12"/>
      <c r="J20" s="12"/>
      <c r="K20" s="12"/>
      <c r="L20" s="12">
        <f t="shared" si="0"/>
        <v>0</v>
      </c>
      <c r="M20" s="13">
        <f t="shared" si="1"/>
        <v>0</v>
      </c>
      <c r="N20" s="13">
        <f t="shared" si="3"/>
        <v>0</v>
      </c>
      <c r="O20" s="14">
        <v>1</v>
      </c>
      <c r="P20" s="13">
        <f t="shared" si="4"/>
        <v>0</v>
      </c>
      <c r="Q20" s="15"/>
      <c r="R20" s="15">
        <f t="shared" si="2"/>
        <v>0</v>
      </c>
      <c r="S20" s="102"/>
    </row>
    <row r="21" spans="1:19" ht="15.75" customHeight="1" x14ac:dyDescent="0.2">
      <c r="A21" s="102"/>
      <c r="B21" s="8"/>
      <c r="C21" s="8"/>
      <c r="D21" s="9"/>
      <c r="E21" s="103"/>
      <c r="F21" s="95"/>
      <c r="G21" s="96"/>
      <c r="H21" s="11"/>
      <c r="I21" s="12"/>
      <c r="J21" s="12"/>
      <c r="K21" s="12"/>
      <c r="L21" s="12">
        <f t="shared" si="0"/>
        <v>0</v>
      </c>
      <c r="M21" s="13">
        <f t="shared" si="1"/>
        <v>0</v>
      </c>
      <c r="N21" s="13">
        <f t="shared" si="3"/>
        <v>0</v>
      </c>
      <c r="O21" s="14">
        <v>1</v>
      </c>
      <c r="P21" s="13">
        <f t="shared" si="4"/>
        <v>0</v>
      </c>
      <c r="Q21" s="15"/>
      <c r="R21" s="15">
        <f t="shared" si="2"/>
        <v>0</v>
      </c>
      <c r="S21" s="102"/>
    </row>
    <row r="22" spans="1:19" ht="15.75" customHeight="1" x14ac:dyDescent="0.2">
      <c r="A22" s="102"/>
      <c r="B22" s="8"/>
      <c r="C22" s="8"/>
      <c r="D22" s="9"/>
      <c r="E22" s="103"/>
      <c r="F22" s="95"/>
      <c r="G22" s="96"/>
      <c r="H22" s="11"/>
      <c r="I22" s="12"/>
      <c r="J22" s="12"/>
      <c r="K22" s="12"/>
      <c r="L22" s="12">
        <f t="shared" si="0"/>
        <v>0</v>
      </c>
      <c r="M22" s="13">
        <f t="shared" si="1"/>
        <v>0</v>
      </c>
      <c r="N22" s="13">
        <f t="shared" si="3"/>
        <v>0</v>
      </c>
      <c r="O22" s="14">
        <v>1</v>
      </c>
      <c r="P22" s="13">
        <f t="shared" si="4"/>
        <v>0</v>
      </c>
      <c r="Q22" s="15"/>
      <c r="R22" s="15">
        <f t="shared" si="2"/>
        <v>0</v>
      </c>
      <c r="S22" s="102"/>
    </row>
    <row r="23" spans="1:19" ht="15.75" customHeight="1" x14ac:dyDescent="0.2">
      <c r="A23" s="102"/>
      <c r="B23" s="8"/>
      <c r="C23" s="8"/>
      <c r="D23" s="9"/>
      <c r="E23" s="103"/>
      <c r="F23" s="95"/>
      <c r="G23" s="96"/>
      <c r="H23" s="11"/>
      <c r="I23" s="12"/>
      <c r="J23" s="12"/>
      <c r="K23" s="12"/>
      <c r="L23" s="12">
        <f t="shared" si="0"/>
        <v>0</v>
      </c>
      <c r="M23" s="13">
        <f t="shared" si="1"/>
        <v>0</v>
      </c>
      <c r="N23" s="13">
        <f t="shared" si="3"/>
        <v>0</v>
      </c>
      <c r="O23" s="14">
        <v>1</v>
      </c>
      <c r="P23" s="13">
        <f t="shared" si="4"/>
        <v>0</v>
      </c>
      <c r="Q23" s="15"/>
      <c r="R23" s="15">
        <f t="shared" si="2"/>
        <v>0</v>
      </c>
      <c r="S23" s="102"/>
    </row>
    <row r="24" spans="1:19" ht="15.75" customHeight="1" x14ac:dyDescent="0.2">
      <c r="A24" s="102"/>
      <c r="B24" s="8"/>
      <c r="C24" s="8"/>
      <c r="D24" s="9"/>
      <c r="E24" s="103"/>
      <c r="F24" s="95"/>
      <c r="G24" s="96"/>
      <c r="H24" s="11"/>
      <c r="I24" s="12"/>
      <c r="J24" s="12"/>
      <c r="K24" s="12"/>
      <c r="L24" s="12">
        <f t="shared" si="0"/>
        <v>0</v>
      </c>
      <c r="M24" s="13">
        <f t="shared" si="1"/>
        <v>0</v>
      </c>
      <c r="N24" s="13">
        <f t="shared" si="3"/>
        <v>0</v>
      </c>
      <c r="O24" s="14">
        <v>1</v>
      </c>
      <c r="P24" s="13">
        <f t="shared" si="4"/>
        <v>0</v>
      </c>
      <c r="Q24" s="15"/>
      <c r="R24" s="15">
        <f t="shared" si="2"/>
        <v>0</v>
      </c>
      <c r="S24" s="102"/>
    </row>
    <row r="25" spans="1:19" ht="15.75" customHeight="1" x14ac:dyDescent="0.2">
      <c r="A25" s="102"/>
      <c r="B25" s="8"/>
      <c r="C25" s="8"/>
      <c r="D25" s="9"/>
      <c r="E25" s="103"/>
      <c r="F25" s="95"/>
      <c r="G25" s="96"/>
      <c r="H25" s="11"/>
      <c r="I25" s="12"/>
      <c r="J25" s="12"/>
      <c r="K25" s="12"/>
      <c r="L25" s="12">
        <f t="shared" si="0"/>
        <v>0</v>
      </c>
      <c r="M25" s="13">
        <f t="shared" si="1"/>
        <v>0</v>
      </c>
      <c r="N25" s="13">
        <f t="shared" si="3"/>
        <v>0</v>
      </c>
      <c r="O25" s="14">
        <v>1</v>
      </c>
      <c r="P25" s="13">
        <f t="shared" si="4"/>
        <v>0</v>
      </c>
      <c r="Q25" s="15"/>
      <c r="R25" s="15">
        <f t="shared" si="2"/>
        <v>0</v>
      </c>
      <c r="S25" s="102"/>
    </row>
    <row r="26" spans="1:19" ht="15.75" customHeight="1" x14ac:dyDescent="0.2">
      <c r="A26" s="102"/>
      <c r="B26" s="8"/>
      <c r="C26" s="8"/>
      <c r="D26" s="9"/>
      <c r="E26" s="103"/>
      <c r="F26" s="95"/>
      <c r="G26" s="96"/>
      <c r="H26" s="11"/>
      <c r="I26" s="12"/>
      <c r="J26" s="12"/>
      <c r="K26" s="12"/>
      <c r="L26" s="12">
        <f t="shared" si="0"/>
        <v>0</v>
      </c>
      <c r="M26" s="13">
        <f t="shared" si="1"/>
        <v>0</v>
      </c>
      <c r="N26" s="13">
        <f t="shared" si="3"/>
        <v>0</v>
      </c>
      <c r="O26" s="14">
        <v>1</v>
      </c>
      <c r="P26" s="13">
        <f t="shared" si="4"/>
        <v>0</v>
      </c>
      <c r="Q26" s="15"/>
      <c r="R26" s="15">
        <f t="shared" si="2"/>
        <v>0</v>
      </c>
      <c r="S26" s="102"/>
    </row>
    <row r="27" spans="1:19" ht="15.75" customHeight="1" x14ac:dyDescent="0.2">
      <c r="A27" s="102"/>
      <c r="B27" s="8"/>
      <c r="C27" s="8"/>
      <c r="D27" s="9"/>
      <c r="E27" s="103"/>
      <c r="F27" s="95"/>
      <c r="G27" s="96"/>
      <c r="H27" s="11"/>
      <c r="I27" s="12"/>
      <c r="J27" s="12"/>
      <c r="K27" s="12"/>
      <c r="L27" s="12">
        <f t="shared" si="0"/>
        <v>0</v>
      </c>
      <c r="M27" s="13">
        <f t="shared" si="1"/>
        <v>0</v>
      </c>
      <c r="N27" s="13">
        <f t="shared" si="3"/>
        <v>0</v>
      </c>
      <c r="O27" s="14">
        <v>1</v>
      </c>
      <c r="P27" s="13">
        <f t="shared" si="4"/>
        <v>0</v>
      </c>
      <c r="Q27" s="15"/>
      <c r="R27" s="15">
        <f t="shared" si="2"/>
        <v>0</v>
      </c>
      <c r="S27" s="102"/>
    </row>
    <row r="28" spans="1:19" ht="15.75" customHeight="1" x14ac:dyDescent="0.2">
      <c r="A28" s="105"/>
      <c r="B28" s="8"/>
      <c r="C28" s="8"/>
      <c r="D28" s="9"/>
      <c r="E28" s="103"/>
      <c r="F28" s="95"/>
      <c r="G28" s="96"/>
      <c r="H28" s="11"/>
      <c r="I28" s="12"/>
      <c r="J28" s="12"/>
      <c r="K28" s="12"/>
      <c r="L28" s="12">
        <f t="shared" si="0"/>
        <v>0</v>
      </c>
      <c r="M28" s="13">
        <f t="shared" si="1"/>
        <v>0</v>
      </c>
      <c r="N28" s="13">
        <f t="shared" si="3"/>
        <v>0</v>
      </c>
      <c r="O28" s="14">
        <v>1</v>
      </c>
      <c r="P28" s="13">
        <f t="shared" si="4"/>
        <v>0</v>
      </c>
      <c r="Q28" s="15"/>
      <c r="R28" s="15">
        <f t="shared" si="2"/>
        <v>0</v>
      </c>
      <c r="S28" s="105"/>
    </row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3">
    <mergeCell ref="E14:G14"/>
    <mergeCell ref="E20:G20"/>
    <mergeCell ref="E21:G21"/>
    <mergeCell ref="E22:G22"/>
    <mergeCell ref="E23:G23"/>
    <mergeCell ref="A17:A28"/>
    <mergeCell ref="E17:G17"/>
    <mergeCell ref="S17:S28"/>
    <mergeCell ref="E18:G18"/>
    <mergeCell ref="E19:G19"/>
    <mergeCell ref="E28:G28"/>
    <mergeCell ref="E24:G24"/>
    <mergeCell ref="E25:G25"/>
    <mergeCell ref="E26:G26"/>
    <mergeCell ref="E27:G27"/>
    <mergeCell ref="E15:G15"/>
    <mergeCell ref="E16:G16"/>
    <mergeCell ref="A1:P1"/>
    <mergeCell ref="Q1:S1"/>
    <mergeCell ref="E2:G2"/>
    <mergeCell ref="A3:A16"/>
    <mergeCell ref="E3:G3"/>
    <mergeCell ref="S3:S16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</mergeCells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3" sqref="G3:G16"/>
    </sheetView>
  </sheetViews>
  <sheetFormatPr baseColWidth="10" defaultColWidth="14.5" defaultRowHeight="15" customHeight="1" x14ac:dyDescent="0.2"/>
  <cols>
    <col min="1" max="1" width="10.6640625" customWidth="1"/>
    <col min="2" max="2" width="20.83203125" customWidth="1"/>
    <col min="3" max="3" width="27" customWidth="1"/>
    <col min="4" max="4" width="20.5" customWidth="1"/>
    <col min="5" max="6" width="10.6640625" customWidth="1"/>
    <col min="7" max="7" width="13.1640625" customWidth="1"/>
    <col min="8" max="10" width="10.6640625" customWidth="1"/>
  </cols>
  <sheetData>
    <row r="1" spans="1:7" ht="28.5" customHeight="1" x14ac:dyDescent="0.25">
      <c r="A1" s="94" t="s">
        <v>19</v>
      </c>
      <c r="B1" s="95"/>
      <c r="C1" s="95"/>
      <c r="D1" s="96"/>
      <c r="E1" s="97" t="s">
        <v>1</v>
      </c>
      <c r="F1" s="98"/>
      <c r="G1" s="98"/>
    </row>
    <row r="2" spans="1:7" ht="75.75" customHeight="1" x14ac:dyDescent="0.2">
      <c r="A2" s="1" t="s">
        <v>2</v>
      </c>
      <c r="B2" s="2" t="s">
        <v>20</v>
      </c>
      <c r="C2" s="3" t="s">
        <v>4</v>
      </c>
      <c r="D2" s="3" t="s">
        <v>21</v>
      </c>
      <c r="E2" s="6" t="s">
        <v>22</v>
      </c>
      <c r="F2" s="6" t="s">
        <v>17</v>
      </c>
      <c r="G2" s="7" t="s">
        <v>23</v>
      </c>
    </row>
    <row r="3" spans="1:7" ht="40" x14ac:dyDescent="0.2">
      <c r="A3" s="112" t="s">
        <v>24</v>
      </c>
      <c r="B3" s="113" t="s">
        <v>25</v>
      </c>
      <c r="C3" s="22" t="s">
        <v>26</v>
      </c>
      <c r="D3" s="9">
        <v>2</v>
      </c>
      <c r="E3" s="15">
        <v>507562.2</v>
      </c>
      <c r="F3" s="15">
        <f>E3*D3</f>
        <v>1015124.4</v>
      </c>
      <c r="G3" s="114">
        <f>SUM(F3:F16)</f>
        <v>4060497.6</v>
      </c>
    </row>
    <row r="4" spans="1:7" ht="27" x14ac:dyDescent="0.2">
      <c r="A4" s="102"/>
      <c r="B4" s="102"/>
      <c r="C4" s="22" t="s">
        <v>27</v>
      </c>
      <c r="D4" s="9">
        <v>3</v>
      </c>
      <c r="E4" s="15">
        <v>507562.2</v>
      </c>
      <c r="F4" s="15">
        <f t="shared" ref="F3:F28" si="0">E4*D4</f>
        <v>1522686.6</v>
      </c>
      <c r="G4" s="102"/>
    </row>
    <row r="5" spans="1:7" x14ac:dyDescent="0.2">
      <c r="A5" s="102"/>
      <c r="B5" s="102"/>
      <c r="C5" s="22" t="s">
        <v>28</v>
      </c>
      <c r="D5" s="23">
        <v>1</v>
      </c>
      <c r="E5" s="15">
        <v>507562.2</v>
      </c>
      <c r="F5" s="15">
        <f t="shared" si="0"/>
        <v>507562.2</v>
      </c>
      <c r="G5" s="102"/>
    </row>
    <row r="6" spans="1:7" x14ac:dyDescent="0.2">
      <c r="A6" s="102"/>
      <c r="B6" s="105"/>
      <c r="C6" s="22" t="s">
        <v>29</v>
      </c>
      <c r="D6" s="9">
        <v>2</v>
      </c>
      <c r="E6" s="15">
        <v>507562.2</v>
      </c>
      <c r="F6" s="15">
        <f t="shared" si="0"/>
        <v>1015124.4</v>
      </c>
      <c r="G6" s="102"/>
    </row>
    <row r="7" spans="1:7" x14ac:dyDescent="0.2">
      <c r="A7" s="102"/>
      <c r="B7" s="8"/>
      <c r="C7" s="8"/>
      <c r="D7" s="9"/>
      <c r="E7" s="15"/>
      <c r="F7" s="15">
        <f t="shared" si="0"/>
        <v>0</v>
      </c>
      <c r="G7" s="102"/>
    </row>
    <row r="8" spans="1:7" x14ac:dyDescent="0.2">
      <c r="A8" s="102"/>
      <c r="B8" s="8"/>
      <c r="C8" s="8"/>
      <c r="D8" s="9"/>
      <c r="E8" s="15"/>
      <c r="F8" s="15">
        <f t="shared" si="0"/>
        <v>0</v>
      </c>
      <c r="G8" s="102"/>
    </row>
    <row r="9" spans="1:7" x14ac:dyDescent="0.2">
      <c r="A9" s="102"/>
      <c r="B9" s="8"/>
      <c r="C9" s="8"/>
      <c r="D9" s="24"/>
      <c r="E9" s="15"/>
      <c r="F9" s="15">
        <f t="shared" si="0"/>
        <v>0</v>
      </c>
      <c r="G9" s="102"/>
    </row>
    <row r="10" spans="1:7" x14ac:dyDescent="0.2">
      <c r="A10" s="102"/>
      <c r="B10" s="8"/>
      <c r="C10" s="8"/>
      <c r="D10" s="9"/>
      <c r="E10" s="15"/>
      <c r="F10" s="15">
        <f t="shared" si="0"/>
        <v>0</v>
      </c>
      <c r="G10" s="102"/>
    </row>
    <row r="11" spans="1:7" x14ac:dyDescent="0.2">
      <c r="A11" s="102"/>
      <c r="B11" s="8"/>
      <c r="C11" s="8"/>
      <c r="D11" s="9"/>
      <c r="E11" s="15"/>
      <c r="F11" s="15">
        <f t="shared" si="0"/>
        <v>0</v>
      </c>
      <c r="G11" s="102"/>
    </row>
    <row r="12" spans="1:7" x14ac:dyDescent="0.2">
      <c r="A12" s="102"/>
      <c r="B12" s="8"/>
      <c r="C12" s="8"/>
      <c r="D12" s="9"/>
      <c r="E12" s="15"/>
      <c r="F12" s="15">
        <f t="shared" si="0"/>
        <v>0</v>
      </c>
      <c r="G12" s="102"/>
    </row>
    <row r="13" spans="1:7" x14ac:dyDescent="0.2">
      <c r="A13" s="102"/>
      <c r="B13" s="8"/>
      <c r="C13" s="8"/>
      <c r="D13" s="9"/>
      <c r="E13" s="15"/>
      <c r="F13" s="15">
        <f t="shared" si="0"/>
        <v>0</v>
      </c>
      <c r="G13" s="102"/>
    </row>
    <row r="14" spans="1:7" x14ac:dyDescent="0.2">
      <c r="A14" s="102"/>
      <c r="B14" s="8"/>
      <c r="C14" s="8"/>
      <c r="D14" s="9"/>
      <c r="E14" s="15"/>
      <c r="F14" s="15">
        <f t="shared" si="0"/>
        <v>0</v>
      </c>
      <c r="G14" s="102"/>
    </row>
    <row r="15" spans="1:7" x14ac:dyDescent="0.2">
      <c r="A15" s="102"/>
      <c r="B15" s="8"/>
      <c r="C15" s="8"/>
      <c r="D15" s="9"/>
      <c r="E15" s="15"/>
      <c r="F15" s="15">
        <f t="shared" si="0"/>
        <v>0</v>
      </c>
      <c r="G15" s="102"/>
    </row>
    <row r="16" spans="1:7" x14ac:dyDescent="0.2">
      <c r="A16" s="102"/>
      <c r="B16" s="19"/>
      <c r="C16" s="19"/>
      <c r="D16" s="20"/>
      <c r="E16" s="15"/>
      <c r="F16" s="15">
        <f t="shared" si="0"/>
        <v>0</v>
      </c>
      <c r="G16" s="105"/>
    </row>
    <row r="17" spans="1:7" x14ac:dyDescent="0.2">
      <c r="A17" s="109"/>
      <c r="B17" s="8"/>
      <c r="C17" s="8"/>
      <c r="D17" s="9"/>
      <c r="E17" s="15"/>
      <c r="F17" s="15">
        <f t="shared" si="0"/>
        <v>0</v>
      </c>
      <c r="G17" s="104">
        <f>SUM(F17:F28)</f>
        <v>0</v>
      </c>
    </row>
    <row r="18" spans="1:7" x14ac:dyDescent="0.2">
      <c r="A18" s="102"/>
      <c r="B18" s="8"/>
      <c r="C18" s="8"/>
      <c r="D18" s="9"/>
      <c r="E18" s="15"/>
      <c r="F18" s="15">
        <f t="shared" si="0"/>
        <v>0</v>
      </c>
      <c r="G18" s="102"/>
    </row>
    <row r="19" spans="1:7" x14ac:dyDescent="0.2">
      <c r="A19" s="102"/>
      <c r="B19" s="8"/>
      <c r="C19" s="8"/>
      <c r="D19" s="9"/>
      <c r="E19" s="15"/>
      <c r="F19" s="15">
        <f t="shared" si="0"/>
        <v>0</v>
      </c>
      <c r="G19" s="102"/>
    </row>
    <row r="20" spans="1:7" x14ac:dyDescent="0.2">
      <c r="A20" s="102"/>
      <c r="B20" s="8"/>
      <c r="C20" s="8"/>
      <c r="D20" s="9"/>
      <c r="E20" s="15"/>
      <c r="F20" s="15">
        <f t="shared" si="0"/>
        <v>0</v>
      </c>
      <c r="G20" s="102"/>
    </row>
    <row r="21" spans="1:7" ht="15.75" customHeight="1" x14ac:dyDescent="0.2">
      <c r="A21" s="102"/>
      <c r="B21" s="8"/>
      <c r="C21" s="8"/>
      <c r="D21" s="9"/>
      <c r="E21" s="15"/>
      <c r="F21" s="15">
        <f t="shared" si="0"/>
        <v>0</v>
      </c>
      <c r="G21" s="102"/>
    </row>
    <row r="22" spans="1:7" ht="15.75" customHeight="1" x14ac:dyDescent="0.2">
      <c r="A22" s="102"/>
      <c r="B22" s="8"/>
      <c r="C22" s="8"/>
      <c r="D22" s="9"/>
      <c r="E22" s="15"/>
      <c r="F22" s="15">
        <f t="shared" si="0"/>
        <v>0</v>
      </c>
      <c r="G22" s="102"/>
    </row>
    <row r="23" spans="1:7" ht="15.75" customHeight="1" x14ac:dyDescent="0.2">
      <c r="A23" s="102"/>
      <c r="B23" s="8"/>
      <c r="C23" s="8"/>
      <c r="D23" s="9"/>
      <c r="E23" s="15"/>
      <c r="F23" s="15">
        <f t="shared" si="0"/>
        <v>0</v>
      </c>
      <c r="G23" s="102"/>
    </row>
    <row r="24" spans="1:7" ht="15.75" customHeight="1" x14ac:dyDescent="0.2">
      <c r="A24" s="102"/>
      <c r="B24" s="8"/>
      <c r="C24" s="8"/>
      <c r="D24" s="9"/>
      <c r="E24" s="15"/>
      <c r="F24" s="15">
        <f t="shared" si="0"/>
        <v>0</v>
      </c>
      <c r="G24" s="102"/>
    </row>
    <row r="25" spans="1:7" ht="15.75" customHeight="1" x14ac:dyDescent="0.2">
      <c r="A25" s="102"/>
      <c r="B25" s="8"/>
      <c r="C25" s="8"/>
      <c r="D25" s="9"/>
      <c r="E25" s="15"/>
      <c r="F25" s="15">
        <f t="shared" si="0"/>
        <v>0</v>
      </c>
      <c r="G25" s="102"/>
    </row>
    <row r="26" spans="1:7" ht="15.75" customHeight="1" x14ac:dyDescent="0.2">
      <c r="A26" s="102"/>
      <c r="B26" s="8"/>
      <c r="C26" s="8"/>
      <c r="D26" s="9"/>
      <c r="E26" s="15"/>
      <c r="F26" s="15">
        <f t="shared" si="0"/>
        <v>0</v>
      </c>
      <c r="G26" s="102"/>
    </row>
    <row r="27" spans="1:7" ht="15.75" customHeight="1" x14ac:dyDescent="0.2">
      <c r="A27" s="102"/>
      <c r="B27" s="8"/>
      <c r="C27" s="8"/>
      <c r="D27" s="9"/>
      <c r="E27" s="15"/>
      <c r="F27" s="15">
        <f t="shared" si="0"/>
        <v>0</v>
      </c>
      <c r="G27" s="102"/>
    </row>
    <row r="28" spans="1:7" ht="15.75" customHeight="1" x14ac:dyDescent="0.2">
      <c r="A28" s="105"/>
      <c r="B28" s="8"/>
      <c r="C28" s="8"/>
      <c r="D28" s="9"/>
      <c r="E28" s="15"/>
      <c r="F28" s="15">
        <f t="shared" si="0"/>
        <v>0</v>
      </c>
      <c r="G28" s="105"/>
    </row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17:A28"/>
    <mergeCell ref="G17:G28"/>
    <mergeCell ref="A1:D1"/>
    <mergeCell ref="E1:G1"/>
    <mergeCell ref="A3:A16"/>
    <mergeCell ref="B3:B6"/>
    <mergeCell ref="G3:G16"/>
  </mergeCells>
  <pageMargins left="0.70866141732283472" right="0.70866141732283472" top="0.74803149606299213" bottom="0.74803149606299213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97"/>
  <sheetViews>
    <sheetView tabSelected="1" workbookViewId="0">
      <selection activeCell="D34" sqref="D34"/>
    </sheetView>
  </sheetViews>
  <sheetFormatPr baseColWidth="10" defaultColWidth="14.5" defaultRowHeight="15" customHeight="1" x14ac:dyDescent="0.2"/>
  <cols>
    <col min="1" max="1" width="53.5" customWidth="1"/>
    <col min="2" max="2" width="24.6640625" customWidth="1"/>
    <col min="3" max="3" width="12.1640625" bestFit="1" customWidth="1"/>
    <col min="4" max="4" width="13.83203125" customWidth="1"/>
    <col min="5" max="5" width="17.5" customWidth="1"/>
    <col min="6" max="6" width="13.6640625" customWidth="1"/>
    <col min="7" max="7" width="10.6640625" customWidth="1"/>
    <col min="8" max="8" width="16.33203125" customWidth="1"/>
    <col min="9" max="26" width="10.6640625" customWidth="1"/>
  </cols>
  <sheetData>
    <row r="2" spans="1:8" x14ac:dyDescent="0.2">
      <c r="A2" s="25" t="s">
        <v>30</v>
      </c>
      <c r="B2" s="26">
        <v>0.02</v>
      </c>
      <c r="C2" s="27"/>
      <c r="D2" s="27"/>
      <c r="E2" s="28"/>
      <c r="F2" s="28"/>
      <c r="G2" s="28"/>
      <c r="H2" s="28"/>
    </row>
    <row r="3" spans="1:8" x14ac:dyDescent="0.2">
      <c r="A3" s="25" t="s">
        <v>31</v>
      </c>
      <c r="B3" s="29">
        <v>30</v>
      </c>
      <c r="C3" s="28"/>
      <c r="D3" s="28"/>
      <c r="E3" s="28"/>
      <c r="F3" s="28"/>
      <c r="G3" s="28"/>
      <c r="H3" s="28"/>
    </row>
    <row r="4" spans="1:8" x14ac:dyDescent="0.2">
      <c r="A4" s="25" t="s">
        <v>32</v>
      </c>
      <c r="B4" s="26">
        <v>0.05</v>
      </c>
      <c r="C4" s="28"/>
      <c r="D4" s="28"/>
      <c r="E4" s="28"/>
      <c r="F4" s="28"/>
      <c r="G4" s="28"/>
      <c r="H4" s="28"/>
    </row>
    <row r="5" spans="1:8" x14ac:dyDescent="0.2">
      <c r="A5" s="25" t="s">
        <v>33</v>
      </c>
      <c r="B5" s="29">
        <v>180</v>
      </c>
      <c r="C5" s="28"/>
      <c r="D5" s="28"/>
      <c r="E5" s="28"/>
      <c r="F5" s="28"/>
      <c r="G5" s="28"/>
      <c r="H5" s="28"/>
    </row>
    <row r="6" spans="1:8" x14ac:dyDescent="0.2">
      <c r="A6" s="28"/>
      <c r="B6" s="28"/>
      <c r="C6" s="28"/>
      <c r="D6" s="28"/>
      <c r="E6" s="28"/>
      <c r="F6" s="28"/>
      <c r="G6" s="28"/>
      <c r="H6" s="28"/>
    </row>
    <row r="7" spans="1:8" x14ac:dyDescent="0.2">
      <c r="A7" s="115" t="s">
        <v>34</v>
      </c>
      <c r="B7" s="116"/>
      <c r="C7" s="116"/>
      <c r="D7" s="116"/>
      <c r="E7" s="116"/>
      <c r="F7" s="116"/>
      <c r="G7" s="116"/>
      <c r="H7" s="117"/>
    </row>
    <row r="8" spans="1:8" x14ac:dyDescent="0.2">
      <c r="A8" s="118" t="s">
        <v>35</v>
      </c>
      <c r="B8" s="119"/>
      <c r="C8" s="119"/>
      <c r="D8" s="119"/>
      <c r="E8" s="119"/>
      <c r="F8" s="119"/>
      <c r="G8" s="119"/>
      <c r="H8" s="120"/>
    </row>
    <row r="9" spans="1:8" ht="28" x14ac:dyDescent="0.2">
      <c r="A9" s="30" t="s">
        <v>36</v>
      </c>
      <c r="B9" s="31" t="s">
        <v>37</v>
      </c>
      <c r="C9" s="31" t="s">
        <v>38</v>
      </c>
      <c r="D9" s="31" t="s">
        <v>39</v>
      </c>
      <c r="E9" s="31" t="s">
        <v>40</v>
      </c>
      <c r="F9" s="31" t="s">
        <v>41</v>
      </c>
      <c r="G9" s="32" t="s">
        <v>42</v>
      </c>
      <c r="H9" s="33" t="s">
        <v>43</v>
      </c>
    </row>
    <row r="10" spans="1:8" x14ac:dyDescent="0.2">
      <c r="A10" s="34" t="s">
        <v>44</v>
      </c>
      <c r="B10" s="35">
        <v>1</v>
      </c>
      <c r="C10" s="36">
        <v>4500000</v>
      </c>
      <c r="D10" s="37">
        <v>60000</v>
      </c>
      <c r="E10" s="38">
        <f t="shared" ref="E10:E15" si="0">(C10+D10)*0.52</f>
        <v>2371200</v>
      </c>
      <c r="F10" s="38">
        <f t="shared" ref="F10:F15" si="1">(C10+E10+D10)*(1+$B$2)</f>
        <v>7069824</v>
      </c>
      <c r="G10" s="39">
        <f t="shared" ref="G10:G15" si="2">F10/$B$5</f>
        <v>39276.800000000003</v>
      </c>
      <c r="H10" s="40">
        <f t="shared" ref="H10:H15" si="3">F10*B10</f>
        <v>7069824</v>
      </c>
    </row>
    <row r="11" spans="1:8" x14ac:dyDescent="0.2">
      <c r="A11" s="34" t="s">
        <v>45</v>
      </c>
      <c r="B11" s="35">
        <v>1</v>
      </c>
      <c r="C11" s="36">
        <v>9000000</v>
      </c>
      <c r="D11" s="37">
        <v>70000</v>
      </c>
      <c r="E11" s="38">
        <f t="shared" si="0"/>
        <v>4716400</v>
      </c>
      <c r="F11" s="38">
        <f t="shared" si="1"/>
        <v>14062128</v>
      </c>
      <c r="G11" s="39">
        <f t="shared" si="2"/>
        <v>78122.933333333334</v>
      </c>
      <c r="H11" s="40">
        <f t="shared" si="3"/>
        <v>14062128</v>
      </c>
    </row>
    <row r="12" spans="1:8" x14ac:dyDescent="0.2">
      <c r="A12" s="34" t="s">
        <v>46</v>
      </c>
      <c r="B12" s="35">
        <v>1</v>
      </c>
      <c r="C12" s="36">
        <v>7500000</v>
      </c>
      <c r="D12" s="37">
        <v>70000</v>
      </c>
      <c r="E12" s="38">
        <f t="shared" si="0"/>
        <v>3936400</v>
      </c>
      <c r="F12" s="38">
        <f t="shared" si="1"/>
        <v>11736528</v>
      </c>
      <c r="G12" s="39">
        <f t="shared" si="2"/>
        <v>65202.933333333334</v>
      </c>
      <c r="H12" s="40">
        <f t="shared" si="3"/>
        <v>11736528</v>
      </c>
    </row>
    <row r="13" spans="1:8" x14ac:dyDescent="0.2">
      <c r="A13" s="34" t="s">
        <v>47</v>
      </c>
      <c r="B13" s="35">
        <v>1</v>
      </c>
      <c r="C13" s="36">
        <v>11000000</v>
      </c>
      <c r="D13" s="37">
        <v>60000</v>
      </c>
      <c r="E13" s="38">
        <f t="shared" si="0"/>
        <v>5751200</v>
      </c>
      <c r="F13" s="38">
        <f t="shared" si="1"/>
        <v>17147424</v>
      </c>
      <c r="G13" s="39">
        <f t="shared" si="2"/>
        <v>95263.46666666666</v>
      </c>
      <c r="H13" s="40">
        <f t="shared" si="3"/>
        <v>17147424</v>
      </c>
    </row>
    <row r="14" spans="1:8" x14ac:dyDescent="0.2">
      <c r="A14" s="34" t="s">
        <v>48</v>
      </c>
      <c r="B14" s="41">
        <v>1</v>
      </c>
      <c r="C14" s="36">
        <v>5000000</v>
      </c>
      <c r="D14" s="37">
        <v>70000</v>
      </c>
      <c r="E14" s="38">
        <f t="shared" si="0"/>
        <v>2636400</v>
      </c>
      <c r="F14" s="38">
        <f t="shared" si="1"/>
        <v>7860528</v>
      </c>
      <c r="G14" s="39">
        <f t="shared" si="2"/>
        <v>43669.599999999999</v>
      </c>
      <c r="H14" s="40">
        <f t="shared" si="3"/>
        <v>7860528</v>
      </c>
    </row>
    <row r="15" spans="1:8" x14ac:dyDescent="0.2">
      <c r="A15" s="34" t="s">
        <v>49</v>
      </c>
      <c r="B15" s="41">
        <v>1</v>
      </c>
      <c r="C15" s="36">
        <v>4500000</v>
      </c>
      <c r="D15" s="37">
        <v>100000</v>
      </c>
      <c r="E15" s="38">
        <f t="shared" si="0"/>
        <v>2392000</v>
      </c>
      <c r="F15" s="38">
        <f t="shared" si="1"/>
        <v>7131840</v>
      </c>
      <c r="G15" s="39">
        <f t="shared" si="2"/>
        <v>39621.333333333336</v>
      </c>
      <c r="H15" s="40">
        <f t="shared" si="3"/>
        <v>7131840</v>
      </c>
    </row>
    <row r="16" spans="1:8" x14ac:dyDescent="0.2">
      <c r="A16" s="34"/>
      <c r="B16" s="35"/>
      <c r="C16" s="36"/>
      <c r="D16" s="37"/>
      <c r="E16" s="38"/>
      <c r="F16" s="38"/>
      <c r="G16" s="39"/>
      <c r="H16" s="40"/>
    </row>
    <row r="17" spans="1:8" x14ac:dyDescent="0.2">
      <c r="A17" s="34"/>
      <c r="B17" s="35"/>
      <c r="C17" s="36"/>
      <c r="D17" s="37"/>
      <c r="E17" s="38"/>
      <c r="F17" s="38"/>
      <c r="G17" s="39"/>
      <c r="H17" s="40"/>
    </row>
    <row r="18" spans="1:8" x14ac:dyDescent="0.2">
      <c r="A18" s="34"/>
      <c r="B18" s="35"/>
      <c r="C18" s="36"/>
      <c r="D18" s="37"/>
      <c r="E18" s="38"/>
      <c r="F18" s="38"/>
      <c r="G18" s="39"/>
      <c r="H18" s="40"/>
    </row>
    <row r="19" spans="1:8" x14ac:dyDescent="0.2">
      <c r="A19" s="42"/>
      <c r="B19" s="43"/>
      <c r="C19" s="44"/>
      <c r="D19" s="44" t="s">
        <v>50</v>
      </c>
      <c r="E19" s="38"/>
      <c r="F19" s="38"/>
      <c r="G19" s="39"/>
      <c r="H19" s="40"/>
    </row>
    <row r="20" spans="1:8" x14ac:dyDescent="0.2">
      <c r="A20" s="42"/>
      <c r="B20" s="43"/>
      <c r="C20" s="44"/>
      <c r="D20" s="44"/>
      <c r="E20" s="38"/>
      <c r="F20" s="38"/>
      <c r="G20" s="39"/>
      <c r="H20" s="40"/>
    </row>
    <row r="21" spans="1:8" ht="15.75" customHeight="1" x14ac:dyDescent="0.2">
      <c r="A21" s="42"/>
      <c r="B21" s="35"/>
      <c r="C21" s="44"/>
      <c r="D21" s="44"/>
      <c r="E21" s="38"/>
      <c r="F21" s="38"/>
      <c r="G21" s="39"/>
      <c r="H21" s="40"/>
    </row>
    <row r="22" spans="1:8" ht="15.75" customHeight="1" x14ac:dyDescent="0.2">
      <c r="A22" s="42"/>
      <c r="B22" s="45"/>
      <c r="C22" s="38"/>
      <c r="D22" s="38"/>
      <c r="E22" s="38"/>
      <c r="F22" s="38"/>
      <c r="G22" s="39"/>
      <c r="H22" s="40"/>
    </row>
    <row r="23" spans="1:8" ht="15.75" customHeight="1" x14ac:dyDescent="0.2">
      <c r="A23" s="46"/>
      <c r="B23" s="45"/>
      <c r="C23" s="38"/>
      <c r="D23" s="38"/>
      <c r="E23" s="38"/>
      <c r="F23" s="38"/>
      <c r="G23" s="39"/>
      <c r="H23" s="40"/>
    </row>
    <row r="24" spans="1:8" ht="15.75" customHeight="1" x14ac:dyDescent="0.2">
      <c r="A24" s="46"/>
      <c r="B24" s="45"/>
      <c r="C24" s="38"/>
      <c r="D24" s="38"/>
      <c r="E24" s="38"/>
      <c r="F24" s="38"/>
      <c r="G24" s="39"/>
      <c r="H24" s="40"/>
    </row>
    <row r="25" spans="1:8" ht="15.75" customHeight="1" x14ac:dyDescent="0.2">
      <c r="A25" s="46"/>
      <c r="B25" s="45"/>
      <c r="C25" s="38"/>
      <c r="D25" s="38"/>
      <c r="E25" s="38"/>
      <c r="F25" s="38"/>
      <c r="G25" s="39"/>
      <c r="H25" s="40"/>
    </row>
    <row r="26" spans="1:8" ht="15.75" customHeight="1" x14ac:dyDescent="0.2">
      <c r="A26" s="46"/>
      <c r="B26" s="45"/>
      <c r="C26" s="38"/>
      <c r="D26" s="38"/>
      <c r="E26" s="38"/>
      <c r="F26" s="38"/>
      <c r="G26" s="39"/>
      <c r="H26" s="40"/>
    </row>
    <row r="27" spans="1:8" ht="15.75" customHeight="1" x14ac:dyDescent="0.2">
      <c r="A27" s="46"/>
      <c r="B27" s="45"/>
      <c r="C27" s="38"/>
      <c r="D27" s="38"/>
      <c r="E27" s="38"/>
      <c r="F27" s="38"/>
      <c r="G27" s="39"/>
      <c r="H27" s="40"/>
    </row>
    <row r="28" spans="1:8" ht="15.75" customHeight="1" x14ac:dyDescent="0.2">
      <c r="A28" s="47" t="s">
        <v>51</v>
      </c>
      <c r="B28" s="48">
        <f>SUM(B10:B27)</f>
        <v>6</v>
      </c>
      <c r="C28" s="49"/>
      <c r="D28" s="49"/>
      <c r="E28" s="50"/>
      <c r="F28" s="51" t="s">
        <v>52</v>
      </c>
      <c r="G28" s="52"/>
      <c r="H28" s="53">
        <f>SUM(H10:H27)</f>
        <v>65008272</v>
      </c>
    </row>
    <row r="29" spans="1:8" ht="15.75" customHeight="1" x14ac:dyDescent="0.2">
      <c r="A29" s="28"/>
      <c r="B29" s="28"/>
      <c r="C29" s="28"/>
      <c r="D29" s="28"/>
      <c r="E29" s="54" t="s">
        <v>53</v>
      </c>
      <c r="F29" s="51"/>
      <c r="G29" s="29"/>
      <c r="H29" s="53">
        <f>H28*B3</f>
        <v>1950248160</v>
      </c>
    </row>
    <row r="30" spans="1:8" ht="15.75" customHeight="1" x14ac:dyDescent="0.2">
      <c r="A30" s="28"/>
      <c r="B30" s="28"/>
      <c r="C30" s="28"/>
      <c r="D30" s="28"/>
      <c r="E30" s="55"/>
      <c r="F30" s="55"/>
      <c r="G30" s="55"/>
      <c r="H30" s="55"/>
    </row>
    <row r="31" spans="1:8" ht="15.75" customHeight="1" x14ac:dyDescent="0.2">
      <c r="A31" s="28"/>
      <c r="B31" s="28"/>
      <c r="C31" s="28"/>
      <c r="D31" s="28"/>
      <c r="E31" s="55"/>
      <c r="F31" s="55"/>
      <c r="G31" s="55"/>
      <c r="H31" s="55"/>
    </row>
    <row r="32" spans="1:8" ht="15.7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5.75" customHeight="1" x14ac:dyDescent="0.2">
      <c r="A33" s="121" t="s">
        <v>54</v>
      </c>
      <c r="B33" s="122"/>
      <c r="C33" s="122"/>
      <c r="D33" s="122"/>
      <c r="E33" s="122"/>
      <c r="F33" s="28"/>
      <c r="G33" s="28"/>
      <c r="H33" s="28"/>
    </row>
    <row r="34" spans="1:8" ht="35" customHeight="1" x14ac:dyDescent="0.2">
      <c r="A34" s="56" t="s">
        <v>55</v>
      </c>
      <c r="B34" s="57" t="s">
        <v>56</v>
      </c>
      <c r="C34" s="58" t="s">
        <v>37</v>
      </c>
      <c r="D34" s="57" t="s">
        <v>57</v>
      </c>
      <c r="E34" s="57" t="s">
        <v>58</v>
      </c>
      <c r="F34" s="28"/>
      <c r="G34" s="28"/>
      <c r="H34" s="28"/>
    </row>
    <row r="35" spans="1:8" ht="15.75" customHeight="1" x14ac:dyDescent="0.2">
      <c r="A35" s="46"/>
      <c r="B35" s="59" t="s">
        <v>59</v>
      </c>
      <c r="C35" s="59"/>
      <c r="D35" s="59"/>
      <c r="E35" s="60">
        <f t="shared" ref="E35:E48" si="4">C35*D35</f>
        <v>0</v>
      </c>
      <c r="F35" s="28"/>
      <c r="G35" s="28"/>
      <c r="H35" s="28"/>
    </row>
    <row r="36" spans="1:8" ht="15.75" customHeight="1" x14ac:dyDescent="0.2">
      <c r="A36" s="61"/>
      <c r="B36" s="59" t="s">
        <v>50</v>
      </c>
      <c r="C36" s="60"/>
      <c r="D36" s="60"/>
      <c r="E36" s="60">
        <f t="shared" si="4"/>
        <v>0</v>
      </c>
      <c r="F36" s="28"/>
      <c r="G36" s="28"/>
      <c r="H36" s="28"/>
    </row>
    <row r="37" spans="1:8" ht="15.75" customHeight="1" x14ac:dyDescent="0.2">
      <c r="A37" s="46"/>
      <c r="B37" s="59" t="s">
        <v>50</v>
      </c>
      <c r="C37" s="59"/>
      <c r="D37" s="59"/>
      <c r="E37" s="60">
        <f t="shared" si="4"/>
        <v>0</v>
      </c>
      <c r="F37" s="28"/>
      <c r="G37" s="28"/>
      <c r="H37" s="28"/>
    </row>
    <row r="38" spans="1:8" ht="15.75" customHeight="1" x14ac:dyDescent="0.2">
      <c r="A38" s="46"/>
      <c r="B38" s="59" t="s">
        <v>50</v>
      </c>
      <c r="C38" s="62"/>
      <c r="D38" s="59"/>
      <c r="E38" s="60">
        <f t="shared" si="4"/>
        <v>0</v>
      </c>
      <c r="F38" s="28"/>
      <c r="G38" s="28"/>
      <c r="H38" s="28"/>
    </row>
    <row r="39" spans="1:8" ht="15.75" customHeight="1" x14ac:dyDescent="0.2">
      <c r="A39" s="63"/>
      <c r="B39" s="59" t="s">
        <v>50</v>
      </c>
      <c r="C39" s="59"/>
      <c r="D39" s="59"/>
      <c r="E39" s="60">
        <f t="shared" si="4"/>
        <v>0</v>
      </c>
      <c r="F39" s="28"/>
      <c r="G39" s="28"/>
      <c r="H39" s="28"/>
    </row>
    <row r="40" spans="1:8" ht="15.75" customHeight="1" x14ac:dyDescent="0.2">
      <c r="A40" s="46"/>
      <c r="B40" s="59" t="s">
        <v>50</v>
      </c>
      <c r="C40" s="59"/>
      <c r="D40" s="59"/>
      <c r="E40" s="60">
        <f t="shared" si="4"/>
        <v>0</v>
      </c>
      <c r="F40" s="28"/>
      <c r="G40" s="28"/>
      <c r="H40" s="28"/>
    </row>
    <row r="41" spans="1:8" ht="15.75" customHeight="1" x14ac:dyDescent="0.2">
      <c r="A41" s="46"/>
      <c r="B41" s="59" t="s">
        <v>50</v>
      </c>
      <c r="C41" s="64"/>
      <c r="D41" s="59"/>
      <c r="E41" s="60">
        <f t="shared" si="4"/>
        <v>0</v>
      </c>
      <c r="F41" s="28"/>
      <c r="G41" s="28"/>
      <c r="H41" s="28"/>
    </row>
    <row r="42" spans="1:8" ht="15.75" customHeight="1" x14ac:dyDescent="0.2">
      <c r="A42" s="63"/>
      <c r="B42" s="59" t="s">
        <v>50</v>
      </c>
      <c r="C42" s="59"/>
      <c r="D42" s="59"/>
      <c r="E42" s="60">
        <f t="shared" si="4"/>
        <v>0</v>
      </c>
      <c r="F42" s="28"/>
      <c r="G42" s="28"/>
      <c r="H42" s="28"/>
    </row>
    <row r="43" spans="1:8" ht="15.75" customHeight="1" x14ac:dyDescent="0.2">
      <c r="A43" s="63"/>
      <c r="B43" s="59" t="s">
        <v>50</v>
      </c>
      <c r="C43" s="64"/>
      <c r="D43" s="59"/>
      <c r="E43" s="60">
        <f t="shared" si="4"/>
        <v>0</v>
      </c>
      <c r="F43" s="28"/>
      <c r="G43" s="28"/>
      <c r="H43" s="28"/>
    </row>
    <row r="44" spans="1:8" ht="15.75" customHeight="1" x14ac:dyDescent="0.2">
      <c r="A44" s="63"/>
      <c r="B44" s="59" t="s">
        <v>50</v>
      </c>
      <c r="C44" s="59"/>
      <c r="D44" s="59"/>
      <c r="E44" s="60">
        <f t="shared" si="4"/>
        <v>0</v>
      </c>
      <c r="F44" s="28"/>
      <c r="G44" s="28"/>
      <c r="H44" s="28"/>
    </row>
    <row r="45" spans="1:8" ht="15.75" customHeight="1" x14ac:dyDescent="0.2">
      <c r="A45" s="63"/>
      <c r="B45" s="59" t="s">
        <v>50</v>
      </c>
      <c r="C45" s="59"/>
      <c r="D45" s="59"/>
      <c r="E45" s="60">
        <f t="shared" si="4"/>
        <v>0</v>
      </c>
      <c r="F45" s="28"/>
      <c r="G45" s="28"/>
      <c r="H45" s="28"/>
    </row>
    <row r="46" spans="1:8" ht="15.75" customHeight="1" x14ac:dyDescent="0.2">
      <c r="A46" s="63"/>
      <c r="B46" s="59" t="s">
        <v>50</v>
      </c>
      <c r="C46" s="59"/>
      <c r="D46" s="59"/>
      <c r="E46" s="60">
        <f t="shared" si="4"/>
        <v>0</v>
      </c>
      <c r="F46" s="28"/>
      <c r="G46" s="28"/>
      <c r="H46" s="28"/>
    </row>
    <row r="47" spans="1:8" ht="15.75" customHeight="1" x14ac:dyDescent="0.2">
      <c r="A47" s="63"/>
      <c r="B47" s="59" t="s">
        <v>50</v>
      </c>
      <c r="C47" s="59"/>
      <c r="D47" s="59"/>
      <c r="E47" s="60">
        <f t="shared" si="4"/>
        <v>0</v>
      </c>
      <c r="F47" s="28"/>
      <c r="G47" s="28"/>
      <c r="H47" s="28"/>
    </row>
    <row r="48" spans="1:8" ht="15.75" customHeight="1" x14ac:dyDescent="0.2">
      <c r="A48" s="63"/>
      <c r="B48" s="59" t="s">
        <v>50</v>
      </c>
      <c r="C48" s="49"/>
      <c r="D48" s="49"/>
      <c r="E48" s="60">
        <f t="shared" si="4"/>
        <v>0</v>
      </c>
      <c r="F48" s="28"/>
      <c r="G48" s="28"/>
      <c r="H48" s="28"/>
    </row>
    <row r="49" spans="1:8" ht="15.75" customHeight="1" x14ac:dyDescent="0.2">
      <c r="A49" s="65"/>
      <c r="B49" s="66"/>
      <c r="C49" s="66"/>
      <c r="D49" s="67" t="s">
        <v>60</v>
      </c>
      <c r="E49" s="68">
        <f>SUM(E35:E48)</f>
        <v>0</v>
      </c>
      <c r="F49" s="28"/>
      <c r="G49" s="28"/>
      <c r="H49" s="28"/>
    </row>
    <row r="50" spans="1:8" ht="15.7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8" ht="7.5" customHeight="1" x14ac:dyDescent="0.2">
      <c r="A51" s="28"/>
      <c r="B51" s="28"/>
      <c r="C51" s="28"/>
      <c r="D51" s="28"/>
      <c r="E51" s="28"/>
      <c r="F51" s="28"/>
      <c r="G51" s="28"/>
      <c r="H51" s="28"/>
    </row>
    <row r="52" spans="1:8" ht="15.75" customHeight="1" x14ac:dyDescent="0.2">
      <c r="C52" s="28"/>
      <c r="D52" s="28"/>
      <c r="E52" s="28"/>
      <c r="F52" s="28"/>
      <c r="G52" s="28"/>
      <c r="H52" s="28"/>
    </row>
    <row r="53" spans="1:8" ht="15.75" customHeight="1" x14ac:dyDescent="0.2">
      <c r="A53" s="69" t="s">
        <v>61</v>
      </c>
      <c r="B53" s="69" t="s">
        <v>62</v>
      </c>
      <c r="C53" s="28"/>
      <c r="D53" s="28"/>
      <c r="E53" s="28"/>
      <c r="F53" s="28"/>
      <c r="G53" s="28"/>
      <c r="H53" s="28"/>
    </row>
    <row r="54" spans="1:8" ht="15.75" customHeight="1" x14ac:dyDescent="0.2">
      <c r="A54" s="12" t="s">
        <v>63</v>
      </c>
      <c r="B54" s="12" t="s">
        <v>64</v>
      </c>
      <c r="C54" s="28"/>
      <c r="D54" s="28"/>
      <c r="E54" s="28"/>
      <c r="F54" s="28"/>
      <c r="G54" s="28"/>
      <c r="H54" s="28"/>
    </row>
    <row r="55" spans="1:8" ht="15.75" customHeight="1" x14ac:dyDescent="0.2">
      <c r="A55" s="12"/>
      <c r="B55" s="12" t="s">
        <v>64</v>
      </c>
      <c r="C55" s="28"/>
      <c r="D55" s="28"/>
      <c r="E55" s="28"/>
      <c r="F55" s="28"/>
      <c r="G55" s="28"/>
      <c r="H55" s="28"/>
    </row>
    <row r="56" spans="1:8" ht="15.75" customHeight="1" x14ac:dyDescent="0.2">
      <c r="A56" s="12"/>
      <c r="B56" s="12" t="s">
        <v>64</v>
      </c>
      <c r="C56" s="28"/>
      <c r="D56" s="28"/>
      <c r="E56" s="28"/>
      <c r="F56" s="28"/>
      <c r="G56" s="28"/>
      <c r="H56" s="28"/>
    </row>
    <row r="57" spans="1:8" ht="15.75" customHeight="1" x14ac:dyDescent="0.2">
      <c r="A57" s="12"/>
      <c r="B57" s="12" t="s">
        <v>64</v>
      </c>
      <c r="C57" s="28"/>
      <c r="D57" s="28"/>
      <c r="E57" s="28"/>
      <c r="F57" s="28"/>
      <c r="G57" s="28"/>
      <c r="H57" s="28"/>
    </row>
    <row r="58" spans="1:8" ht="15.75" customHeight="1" x14ac:dyDescent="0.2">
      <c r="A58" s="12"/>
      <c r="B58" s="12" t="s">
        <v>64</v>
      </c>
      <c r="C58" s="28"/>
      <c r="D58" s="28"/>
      <c r="E58" s="28"/>
      <c r="F58" s="28"/>
      <c r="G58" s="28"/>
      <c r="H58" s="28"/>
    </row>
    <row r="59" spans="1:8" ht="15.75" customHeight="1" x14ac:dyDescent="0.2">
      <c r="A59" s="12"/>
      <c r="B59" s="12" t="s">
        <v>64</v>
      </c>
      <c r="C59" s="28"/>
      <c r="D59" s="28"/>
      <c r="E59" s="28"/>
      <c r="F59" s="28"/>
      <c r="G59" s="28"/>
      <c r="H59" s="28"/>
    </row>
    <row r="60" spans="1:8" ht="15.75" customHeight="1" x14ac:dyDescent="0.2">
      <c r="A60" s="12"/>
      <c r="B60" s="12" t="s">
        <v>64</v>
      </c>
      <c r="C60" s="28"/>
      <c r="D60" s="28"/>
      <c r="E60" s="28"/>
      <c r="F60" s="28"/>
      <c r="G60" s="28"/>
      <c r="H60" s="28"/>
    </row>
    <row r="61" spans="1:8" ht="15.75" customHeight="1" x14ac:dyDescent="0.2">
      <c r="A61" s="12"/>
      <c r="B61" s="12" t="s">
        <v>64</v>
      </c>
      <c r="C61" s="28"/>
      <c r="D61" s="28"/>
      <c r="E61" s="28"/>
      <c r="F61" s="28"/>
      <c r="G61" s="28"/>
      <c r="H61" s="28"/>
    </row>
    <row r="62" spans="1:8" ht="15.75" customHeight="1" x14ac:dyDescent="0.2">
      <c r="A62" s="70" t="s">
        <v>65</v>
      </c>
      <c r="B62" s="70">
        <f>SUM(B54:B61)</f>
        <v>0</v>
      </c>
      <c r="C62" s="28"/>
      <c r="D62" s="28"/>
      <c r="E62" s="28"/>
      <c r="F62" s="28"/>
      <c r="G62" s="28"/>
      <c r="H62" s="28"/>
    </row>
    <row r="63" spans="1:8" ht="15.75" customHeight="1" x14ac:dyDescent="0.2">
      <c r="C63" s="28"/>
      <c r="D63" s="28"/>
      <c r="E63" s="28"/>
      <c r="F63" s="28"/>
      <c r="G63" s="28"/>
      <c r="H63" s="28"/>
    </row>
    <row r="64" spans="1:8" ht="15.75" customHeight="1" x14ac:dyDescent="0.2">
      <c r="A64" s="71" t="s">
        <v>66</v>
      </c>
      <c r="B64" s="72">
        <f>H29</f>
        <v>1950248160</v>
      </c>
      <c r="C64" s="28"/>
      <c r="D64" s="28"/>
      <c r="E64" s="28"/>
      <c r="F64" s="28"/>
      <c r="G64" s="28"/>
      <c r="H64" s="28"/>
    </row>
    <row r="65" spans="1:8" ht="15.75" customHeight="1" x14ac:dyDescent="0.2">
      <c r="A65" s="71" t="s">
        <v>54</v>
      </c>
      <c r="B65" s="73">
        <f>E49</f>
        <v>0</v>
      </c>
      <c r="C65" s="28"/>
      <c r="D65" s="28"/>
      <c r="E65" s="28"/>
      <c r="F65" s="28"/>
      <c r="G65" s="28"/>
      <c r="H65" s="28"/>
    </row>
    <row r="66" spans="1:8" ht="15.75" customHeight="1" x14ac:dyDescent="0.2">
      <c r="A66" s="74" t="s">
        <v>67</v>
      </c>
      <c r="B66" s="74">
        <f>B62</f>
        <v>0</v>
      </c>
      <c r="C66" s="28"/>
      <c r="D66" s="28"/>
      <c r="E66" s="28"/>
      <c r="F66" s="28"/>
      <c r="G66" s="28"/>
      <c r="H66" s="28"/>
    </row>
    <row r="67" spans="1:8" ht="15.75" customHeight="1" x14ac:dyDescent="0.2">
      <c r="A67" s="75" t="s">
        <v>68</v>
      </c>
      <c r="B67" s="76">
        <f>(B64+B65+B66)*B4</f>
        <v>97512408</v>
      </c>
      <c r="C67" s="28"/>
      <c r="D67" s="28"/>
      <c r="E67" s="28"/>
      <c r="F67" s="28"/>
      <c r="G67" s="28"/>
      <c r="H67" s="28"/>
    </row>
    <row r="68" spans="1:8" ht="15.75" customHeight="1" x14ac:dyDescent="0.2">
      <c r="A68" s="77" t="s">
        <v>69</v>
      </c>
      <c r="B68" s="78">
        <f>(B64+B65+B66)*0.1</f>
        <v>195024816</v>
      </c>
      <c r="C68" s="28"/>
      <c r="D68" s="28"/>
      <c r="E68" s="28"/>
      <c r="F68" s="28"/>
      <c r="G68" s="28"/>
      <c r="H68" s="28"/>
    </row>
    <row r="69" spans="1:8" ht="15.75" customHeight="1" x14ac:dyDescent="0.2">
      <c r="A69" s="79" t="s">
        <v>70</v>
      </c>
      <c r="B69" s="80">
        <f>SUM(B64:B67)</f>
        <v>2047760568</v>
      </c>
      <c r="C69" s="28"/>
      <c r="D69" s="28"/>
      <c r="E69" s="28"/>
      <c r="F69" s="28"/>
      <c r="G69" s="28"/>
      <c r="H69" s="28"/>
    </row>
    <row r="70" spans="1:8" ht="15.75" customHeight="1" x14ac:dyDescent="0.2"/>
    <row r="71" spans="1:8" ht="15.75" customHeight="1" x14ac:dyDescent="0.2"/>
    <row r="72" spans="1:8" ht="15.75" customHeight="1" x14ac:dyDescent="0.2"/>
    <row r="73" spans="1:8" ht="15.75" customHeight="1" x14ac:dyDescent="0.2"/>
    <row r="74" spans="1:8" ht="15.75" customHeight="1" x14ac:dyDescent="0.2"/>
    <row r="75" spans="1:8" ht="15.75" customHeight="1" x14ac:dyDescent="0.2"/>
    <row r="76" spans="1:8" ht="15.75" customHeight="1" x14ac:dyDescent="0.2"/>
    <row r="77" spans="1:8" ht="15.75" customHeight="1" x14ac:dyDescent="0.2"/>
    <row r="78" spans="1:8" ht="15.75" customHeight="1" x14ac:dyDescent="0.2"/>
    <row r="79" spans="1:8" ht="15.75" customHeight="1" x14ac:dyDescent="0.2"/>
    <row r="80" spans="1: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3">
    <mergeCell ref="A7:H7"/>
    <mergeCell ref="A8:H8"/>
    <mergeCell ref="A33:E33"/>
  </mergeCells>
  <dataValidations count="1">
    <dataValidation type="list" allowBlank="1" showErrorMessage="1" sqref="B35:B48" xr:uid="{00000000-0002-0000-0200-000000000000}">
      <formula1>"Directo,Indirecto"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2"/>
  <sheetViews>
    <sheetView topLeftCell="A4" workbookViewId="0">
      <selection activeCell="F31" sqref="F31"/>
    </sheetView>
  </sheetViews>
  <sheetFormatPr baseColWidth="10" defaultColWidth="14.5" defaultRowHeight="15" customHeight="1" x14ac:dyDescent="0.2"/>
  <cols>
    <col min="1" max="1" width="31.6640625" customWidth="1"/>
    <col min="3" max="3" width="18.83203125" customWidth="1"/>
    <col min="4" max="5" width="10.6640625" customWidth="1"/>
    <col min="6" max="6" width="22" customWidth="1"/>
    <col min="7" max="26" width="10.6640625" customWidth="1"/>
  </cols>
  <sheetData>
    <row r="2" spans="1:8" x14ac:dyDescent="0.2">
      <c r="F2" s="81" t="s">
        <v>71</v>
      </c>
    </row>
    <row r="3" spans="1:8" x14ac:dyDescent="0.2">
      <c r="A3" s="82"/>
      <c r="B3" s="82"/>
      <c r="C3" s="82"/>
      <c r="F3" s="83" t="s">
        <v>72</v>
      </c>
      <c r="G3" s="83">
        <v>1300000</v>
      </c>
    </row>
    <row r="4" spans="1:8" x14ac:dyDescent="0.2">
      <c r="F4" s="83" t="s">
        <v>73</v>
      </c>
      <c r="G4" s="83">
        <v>162000</v>
      </c>
      <c r="H4" s="83" t="s">
        <v>74</v>
      </c>
    </row>
    <row r="5" spans="1:8" x14ac:dyDescent="0.2">
      <c r="A5" s="123" t="s">
        <v>75</v>
      </c>
      <c r="B5" s="124"/>
      <c r="C5" s="124"/>
    </row>
    <row r="6" spans="1:8" x14ac:dyDescent="0.2">
      <c r="A6" s="84" t="s">
        <v>76</v>
      </c>
      <c r="B6" s="84" t="s">
        <v>77</v>
      </c>
      <c r="C6" s="84" t="s">
        <v>78</v>
      </c>
    </row>
    <row r="7" spans="1:8" x14ac:dyDescent="0.2">
      <c r="A7" s="85" t="s">
        <v>79</v>
      </c>
      <c r="B7" s="12"/>
      <c r="C7" s="13">
        <v>180</v>
      </c>
    </row>
    <row r="8" spans="1:8" x14ac:dyDescent="0.2">
      <c r="A8" s="85" t="s">
        <v>80</v>
      </c>
      <c r="B8" s="12"/>
      <c r="C8" s="13">
        <v>2600000</v>
      </c>
    </row>
    <row r="9" spans="1:8" x14ac:dyDescent="0.2">
      <c r="A9" s="85" t="s">
        <v>73</v>
      </c>
      <c r="B9" s="86" t="s">
        <v>50</v>
      </c>
      <c r="C9" s="13">
        <v>0</v>
      </c>
    </row>
    <row r="10" spans="1:8" x14ac:dyDescent="0.2">
      <c r="A10" s="85" t="s">
        <v>81</v>
      </c>
      <c r="B10" s="12"/>
      <c r="C10" s="13">
        <f>SUM(C8:C9)</f>
        <v>2600000</v>
      </c>
    </row>
    <row r="11" spans="1:8" x14ac:dyDescent="0.2">
      <c r="A11" s="85"/>
      <c r="B11" s="12"/>
      <c r="C11" s="13"/>
    </row>
    <row r="12" spans="1:8" x14ac:dyDescent="0.2">
      <c r="A12" s="85" t="s">
        <v>82</v>
      </c>
      <c r="B12" s="87">
        <v>8.3299999999999999E-2</v>
      </c>
      <c r="C12" s="13">
        <f t="shared" ref="C12:C15" si="0">C$8*B12</f>
        <v>216580</v>
      </c>
    </row>
    <row r="13" spans="1:8" x14ac:dyDescent="0.2">
      <c r="A13" s="85" t="s">
        <v>83</v>
      </c>
      <c r="B13" s="87">
        <v>8.3299999999999999E-2</v>
      </c>
      <c r="C13" s="13">
        <f t="shared" si="0"/>
        <v>216580</v>
      </c>
    </row>
    <row r="14" spans="1:8" x14ac:dyDescent="0.2">
      <c r="A14" s="85" t="s">
        <v>84</v>
      </c>
      <c r="B14" s="87">
        <v>1.1999999999999999E-3</v>
      </c>
      <c r="C14" s="13">
        <f t="shared" si="0"/>
        <v>3119.9999999999995</v>
      </c>
    </row>
    <row r="15" spans="1:8" x14ac:dyDescent="0.2">
      <c r="A15" s="85" t="s">
        <v>85</v>
      </c>
      <c r="B15" s="86">
        <v>4.1669999999999999E-2</v>
      </c>
      <c r="C15" s="13">
        <f t="shared" si="0"/>
        <v>108342</v>
      </c>
    </row>
    <row r="16" spans="1:8" x14ac:dyDescent="0.2">
      <c r="A16" s="85"/>
      <c r="B16" s="12"/>
      <c r="C16" s="13"/>
    </row>
    <row r="17" spans="1:3" x14ac:dyDescent="0.2">
      <c r="A17" s="85" t="s">
        <v>86</v>
      </c>
      <c r="B17" s="86">
        <f>SUM(B12:B15)</f>
        <v>0.20946999999999999</v>
      </c>
      <c r="C17" s="13">
        <f>SUM(C12:C16)</f>
        <v>544622</v>
      </c>
    </row>
    <row r="18" spans="1:3" x14ac:dyDescent="0.2">
      <c r="A18" s="85"/>
      <c r="B18" s="12"/>
      <c r="C18" s="13"/>
    </row>
    <row r="19" spans="1:3" x14ac:dyDescent="0.2">
      <c r="A19" s="85" t="s">
        <v>87</v>
      </c>
      <c r="B19" s="87">
        <v>8.5000000000000006E-2</v>
      </c>
      <c r="C19" s="13">
        <f t="shared" ref="C19:C22" si="1">C$8*B19</f>
        <v>221000.00000000003</v>
      </c>
    </row>
    <row r="20" spans="1:3" x14ac:dyDescent="0.2">
      <c r="A20" s="85" t="s">
        <v>88</v>
      </c>
      <c r="B20" s="87">
        <v>0.12</v>
      </c>
      <c r="C20" s="13">
        <f t="shared" si="1"/>
        <v>312000</v>
      </c>
    </row>
    <row r="21" spans="1:3" ht="15.75" customHeight="1" x14ac:dyDescent="0.2">
      <c r="A21" s="85" t="s">
        <v>89</v>
      </c>
      <c r="B21" s="87">
        <v>0.09</v>
      </c>
      <c r="C21" s="13">
        <f t="shared" si="1"/>
        <v>234000</v>
      </c>
    </row>
    <row r="22" spans="1:3" ht="15.75" customHeight="1" x14ac:dyDescent="0.2">
      <c r="A22" s="85" t="s">
        <v>90</v>
      </c>
      <c r="B22" s="87">
        <v>5.2199999999999998E-3</v>
      </c>
      <c r="C22" s="13">
        <f t="shared" si="1"/>
        <v>13572</v>
      </c>
    </row>
    <row r="23" spans="1:3" ht="15.75" customHeight="1" x14ac:dyDescent="0.2">
      <c r="A23" s="85"/>
      <c r="B23" s="12"/>
      <c r="C23" s="12"/>
    </row>
    <row r="24" spans="1:3" ht="15.75" customHeight="1" x14ac:dyDescent="0.2">
      <c r="A24" s="85" t="s">
        <v>91</v>
      </c>
      <c r="B24" s="87">
        <f t="shared" ref="B24:C24" si="2">SUM(B19:B23)</f>
        <v>0.30022000000000004</v>
      </c>
      <c r="C24" s="13">
        <f t="shared" si="2"/>
        <v>780572</v>
      </c>
    </row>
    <row r="25" spans="1:3" ht="15.75" customHeight="1" x14ac:dyDescent="0.2">
      <c r="A25" s="85"/>
      <c r="B25" s="12"/>
      <c r="C25" s="12"/>
    </row>
    <row r="26" spans="1:3" ht="15.75" customHeight="1" x14ac:dyDescent="0.2">
      <c r="A26" s="85" t="s">
        <v>92</v>
      </c>
      <c r="B26" s="12"/>
      <c r="C26" s="88">
        <f>C10+C17+C24</f>
        <v>3925194</v>
      </c>
    </row>
    <row r="27" spans="1:3" ht="15.75" customHeight="1" x14ac:dyDescent="0.2">
      <c r="A27" s="85" t="s">
        <v>93</v>
      </c>
      <c r="B27" s="12"/>
      <c r="C27" s="88">
        <f>C26*12</f>
        <v>47102328</v>
      </c>
    </row>
    <row r="28" spans="1:3" ht="15.75" customHeight="1" x14ac:dyDescent="0.2">
      <c r="A28" s="85" t="s">
        <v>94</v>
      </c>
      <c r="B28" s="12"/>
      <c r="C28" s="88">
        <f>C26/C7</f>
        <v>21806.633333333335</v>
      </c>
    </row>
    <row r="29" spans="1:3" ht="15.75" customHeight="1" x14ac:dyDescent="0.2">
      <c r="A29" s="82"/>
      <c r="B29" s="82"/>
      <c r="C29" s="82"/>
    </row>
    <row r="30" spans="1:3" ht="15.75" customHeight="1" x14ac:dyDescent="0.2">
      <c r="A30" s="82"/>
      <c r="B30" s="82"/>
      <c r="C30" s="82"/>
    </row>
    <row r="31" spans="1:3" ht="15.75" customHeight="1" x14ac:dyDescent="0.2">
      <c r="A31" s="89"/>
      <c r="B31" s="90"/>
      <c r="C31" s="82"/>
    </row>
    <row r="32" spans="1:3" ht="15.75" customHeight="1" x14ac:dyDescent="0.2">
      <c r="A32" s="89"/>
      <c r="B32" s="90"/>
      <c r="C32" s="82"/>
    </row>
    <row r="33" spans="1:3" ht="15.75" customHeight="1" x14ac:dyDescent="0.2">
      <c r="A33" s="91" t="s">
        <v>95</v>
      </c>
      <c r="B33" s="13">
        <v>250</v>
      </c>
      <c r="C33" s="82"/>
    </row>
    <row r="34" spans="1:3" ht="15.75" customHeight="1" x14ac:dyDescent="0.2">
      <c r="A34" s="91" t="s">
        <v>96</v>
      </c>
      <c r="B34" s="13">
        <v>80</v>
      </c>
      <c r="C34" s="82"/>
    </row>
    <row r="35" spans="1:3" ht="15.75" customHeight="1" x14ac:dyDescent="0.2">
      <c r="A35" s="92" t="s">
        <v>97</v>
      </c>
      <c r="B35" s="93">
        <f>Presupuesto!H28</f>
        <v>65008272</v>
      </c>
    </row>
    <row r="36" spans="1:3" ht="15.75" customHeight="1" x14ac:dyDescent="0.2">
      <c r="A36" s="92" t="s">
        <v>98</v>
      </c>
      <c r="B36" s="93">
        <f>B35/B34</f>
        <v>812603.4</v>
      </c>
    </row>
    <row r="37" spans="1:3" ht="15.75" customHeight="1" x14ac:dyDescent="0.2">
      <c r="A37" s="92" t="s">
        <v>99</v>
      </c>
      <c r="B37" s="93">
        <f>B33*B36</f>
        <v>203150850</v>
      </c>
    </row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"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Estimar CostosxHora</vt:lpstr>
      <vt:lpstr>Estimar por puntos de historia</vt:lpstr>
      <vt:lpstr>Presupuesto</vt:lpstr>
      <vt:lpstr>costo por recurso o punto de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Liliana Machuca</cp:lastModifiedBy>
  <dcterms:created xsi:type="dcterms:W3CDTF">2008-07-30T16:49:19Z</dcterms:created>
  <dcterms:modified xsi:type="dcterms:W3CDTF">2024-09-17T19:46:01Z</dcterms:modified>
</cp:coreProperties>
</file>